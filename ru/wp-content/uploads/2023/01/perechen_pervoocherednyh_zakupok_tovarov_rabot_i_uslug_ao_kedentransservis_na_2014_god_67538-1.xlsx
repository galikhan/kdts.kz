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985" windowWidth="14805" windowHeight="5130"/>
  </bookViews>
  <sheets>
    <sheet name="Первоочеред" sheetId="1" r:id="rId1"/>
    <sheet name="Лист1" sheetId="2" r:id="rId2"/>
  </sheets>
  <externalReferences>
    <externalReference r:id="rId3"/>
  </externalReferences>
  <definedNames>
    <definedName name="_xlnm._FilterDatabase" localSheetId="0" hidden="1">Первоочеред!$A$13:$O$398</definedName>
    <definedName name="_xlnm.Print_Titles" localSheetId="0">Первоочеред!$11:$13</definedName>
  </definedNames>
  <calcPr calcId="145621"/>
</workbook>
</file>

<file path=xl/calcChain.xml><?xml version="1.0" encoding="utf-8"?>
<calcChain xmlns="http://schemas.openxmlformats.org/spreadsheetml/2006/main">
  <c r="M272" i="1" l="1"/>
  <c r="M268" i="1" l="1"/>
  <c r="M266" i="1" l="1"/>
  <c r="N241" i="1" l="1"/>
  <c r="M264" i="1" l="1"/>
  <c r="M267" i="1" l="1"/>
  <c r="N240" i="1" l="1"/>
  <c r="N396" i="1" l="1"/>
  <c r="N395" i="1"/>
  <c r="N394" i="1"/>
  <c r="N393" i="1" l="1"/>
  <c r="N392" i="1"/>
  <c r="M28" i="1" l="1"/>
  <c r="M274" i="1"/>
  <c r="N34" i="1" l="1"/>
  <c r="N33" i="1"/>
  <c r="N356" i="1" l="1"/>
  <c r="M57" i="1" l="1"/>
  <c r="N57" i="1" s="1"/>
  <c r="M56" i="1"/>
  <c r="N56" i="1" s="1"/>
  <c r="N391" i="1"/>
  <c r="N390" i="1"/>
  <c r="N389" i="1"/>
  <c r="N387" i="1"/>
  <c r="N388" i="1"/>
  <c r="N386" i="1"/>
  <c r="N239" i="1"/>
  <c r="N238" i="1"/>
  <c r="M237" i="1" l="1"/>
  <c r="N384" i="1" l="1"/>
  <c r="N385" i="1"/>
  <c r="M88" i="1" l="1"/>
  <c r="N88" i="1" s="1"/>
  <c r="M86" i="1"/>
  <c r="N86" i="1" s="1"/>
  <c r="M84" i="1"/>
  <c r="N84" i="1" s="1"/>
  <c r="M82" i="1"/>
  <c r="N82" i="1" s="1"/>
  <c r="M80" i="1"/>
  <c r="N80" i="1" s="1"/>
  <c r="M78" i="1"/>
  <c r="N78" i="1" s="1"/>
  <c r="M89" i="1" l="1"/>
  <c r="N89" i="1" s="1"/>
  <c r="M87" i="1"/>
  <c r="N87" i="1" s="1"/>
  <c r="M85" i="1"/>
  <c r="N85" i="1" s="1"/>
  <c r="M83" i="1"/>
  <c r="N83" i="1" s="1"/>
  <c r="M81" i="1"/>
  <c r="N81" i="1" s="1"/>
  <c r="M79" i="1"/>
  <c r="N79" i="1" s="1"/>
  <c r="N285" i="1" l="1"/>
  <c r="N383" i="1" l="1"/>
  <c r="N382" i="1"/>
  <c r="N236" i="1"/>
  <c r="N381" i="1"/>
  <c r="N380" i="1"/>
  <c r="N379" i="1"/>
  <c r="M265" i="1"/>
  <c r="N148" i="1"/>
  <c r="M147" i="1"/>
  <c r="N147" i="1" s="1"/>
  <c r="M146" i="1"/>
  <c r="N146" i="1" s="1"/>
  <c r="M143" i="1"/>
  <c r="N143" i="1" s="1"/>
  <c r="N378" i="1" l="1"/>
  <c r="N377" i="1" l="1"/>
  <c r="N376" i="1"/>
  <c r="N375" i="1" l="1"/>
  <c r="M27" i="1" l="1"/>
  <c r="N27" i="1" s="1"/>
  <c r="N261" i="1"/>
  <c r="N177" i="1" l="1"/>
  <c r="N176" i="1"/>
  <c r="N361" i="1" l="1"/>
  <c r="M273" i="1" l="1"/>
  <c r="M271" i="1"/>
  <c r="N358" i="1" l="1"/>
  <c r="M221" i="1"/>
  <c r="N221" i="1" s="1"/>
  <c r="M220" i="1"/>
  <c r="N220" i="1" s="1"/>
  <c r="M219" i="1"/>
  <c r="N219" i="1" s="1"/>
  <c r="M218" i="1"/>
  <c r="N218" i="1" s="1"/>
  <c r="M217" i="1"/>
  <c r="N217" i="1" s="1"/>
  <c r="M216" i="1"/>
  <c r="N216" i="1" s="1"/>
  <c r="M215" i="1"/>
  <c r="N215" i="1" s="1"/>
  <c r="M214" i="1"/>
  <c r="N214" i="1" s="1"/>
  <c r="M213" i="1"/>
  <c r="N213" i="1" s="1"/>
  <c r="M212" i="1"/>
  <c r="N212" i="1" s="1"/>
  <c r="M211" i="1"/>
  <c r="N211" i="1" s="1"/>
  <c r="M210" i="1"/>
  <c r="N210" i="1" s="1"/>
  <c r="M209" i="1"/>
  <c r="N209" i="1" s="1"/>
  <c r="M208" i="1"/>
  <c r="N208" i="1" s="1"/>
  <c r="M207" i="1"/>
  <c r="N207" i="1" s="1"/>
  <c r="M206" i="1"/>
  <c r="N206" i="1" s="1"/>
  <c r="M205" i="1"/>
  <c r="N205" i="1" s="1"/>
  <c r="M32" i="1" l="1"/>
  <c r="N32" i="1" s="1"/>
  <c r="M31" i="1"/>
  <c r="N31" i="1" s="1"/>
  <c r="M30" i="1"/>
  <c r="N30" i="1" s="1"/>
  <c r="M275" i="1" l="1"/>
  <c r="N373" i="1"/>
  <c r="N372" i="1"/>
  <c r="N371" i="1"/>
  <c r="N299" i="1"/>
  <c r="M224" i="1" l="1"/>
  <c r="N224" i="1" s="1"/>
  <c r="M225" i="1"/>
  <c r="N225" i="1" s="1"/>
  <c r="M226" i="1"/>
  <c r="N226" i="1" s="1"/>
  <c r="M227" i="1"/>
  <c r="N227" i="1" s="1"/>
  <c r="M223" i="1"/>
  <c r="N223" i="1" s="1"/>
  <c r="N222" i="1"/>
  <c r="N91" i="1"/>
  <c r="N260" i="1" l="1"/>
  <c r="M48" i="1"/>
  <c r="N48" i="1" s="1"/>
  <c r="M47" i="1"/>
  <c r="N47" i="1" s="1"/>
  <c r="M71" i="1" l="1"/>
  <c r="N71" i="1" s="1"/>
  <c r="M53" i="1"/>
  <c r="N53" i="1" s="1"/>
  <c r="M52" i="1"/>
  <c r="N52" i="1" s="1"/>
  <c r="M397" i="1"/>
  <c r="N370" i="1" l="1"/>
  <c r="N369" i="1"/>
  <c r="M235" i="1" l="1"/>
  <c r="N235" i="1" s="1"/>
  <c r="N204" i="1" l="1"/>
  <c r="N203" i="1"/>
  <c r="N202" i="1"/>
  <c r="N201" i="1"/>
  <c r="N200" i="1"/>
  <c r="N199" i="1"/>
  <c r="N198" i="1"/>
  <c r="N197" i="1"/>
  <c r="N368" i="1"/>
  <c r="N178" i="1"/>
  <c r="N175" i="1"/>
  <c r="N168" i="1"/>
  <c r="N165" i="1" l="1"/>
  <c r="N98" i="1"/>
  <c r="M16" i="1"/>
  <c r="M77" i="1"/>
  <c r="N77" i="1" s="1"/>
  <c r="M76" i="1"/>
  <c r="N76" i="1" s="1"/>
  <c r="M37" i="1"/>
  <c r="N37" i="1" s="1"/>
  <c r="N16" i="1" l="1"/>
  <c r="N280" i="1"/>
  <c r="N292" i="1" l="1"/>
  <c r="N291" i="1"/>
  <c r="N290" i="1"/>
  <c r="N289" i="1"/>
  <c r="N288" i="1"/>
  <c r="N287" i="1"/>
  <c r="N286" i="1"/>
  <c r="N284" i="1"/>
  <c r="N283" i="1"/>
  <c r="N282" i="1" l="1"/>
  <c r="M255" i="1"/>
  <c r="M254" i="1"/>
  <c r="M253" i="1"/>
  <c r="M252" i="1"/>
  <c r="M251" i="1"/>
  <c r="M250" i="1"/>
  <c r="M249" i="1"/>
  <c r="M248" i="1"/>
  <c r="M262" i="1" l="1"/>
  <c r="N321" i="1"/>
  <c r="N322" i="1"/>
  <c r="N323" i="1"/>
  <c r="N324" i="1"/>
  <c r="N365" i="1"/>
  <c r="N367" i="1"/>
  <c r="N96" i="1"/>
  <c r="N97" i="1"/>
  <c r="N101" i="1"/>
  <c r="N102" i="1"/>
  <c r="N248" i="1"/>
  <c r="N249" i="1"/>
  <c r="N250" i="1"/>
  <c r="N251" i="1"/>
  <c r="N252" i="1"/>
  <c r="N253" i="1"/>
  <c r="N254" i="1"/>
  <c r="N255" i="1"/>
  <c r="N257" i="1"/>
  <c r="N256" i="1"/>
  <c r="N366" i="1"/>
  <c r="N364" i="1"/>
  <c r="N363" i="1"/>
  <c r="N362" i="1"/>
  <c r="N360" i="1"/>
  <c r="N20" i="1"/>
  <c r="N359" i="1" l="1"/>
  <c r="N357" i="1"/>
  <c r="N355" i="1"/>
  <c r="N354" i="1"/>
  <c r="N353" i="1"/>
  <c r="N352" i="1"/>
  <c r="M75" i="1"/>
  <c r="N75" i="1" s="1"/>
  <c r="M196" i="1"/>
  <c r="N196" i="1" s="1"/>
  <c r="N195" i="1"/>
  <c r="N194" i="1"/>
  <c r="M58" i="1"/>
  <c r="N58" i="1" s="1"/>
  <c r="M35" i="1" l="1"/>
  <c r="N35" i="1" s="1"/>
  <c r="N351" i="1"/>
  <c r="N348" i="1" l="1"/>
  <c r="N347" i="1"/>
  <c r="M193" i="1"/>
  <c r="N193" i="1" s="1"/>
  <c r="M46" i="1"/>
  <c r="N46" i="1" s="1"/>
  <c r="N346" i="1" l="1"/>
  <c r="N345" i="1"/>
  <c r="N344" i="1"/>
  <c r="N315" i="1"/>
  <c r="N174" i="1"/>
  <c r="N173" i="1"/>
  <c r="N172" i="1"/>
  <c r="N171" i="1"/>
  <c r="N170" i="1"/>
  <c r="N169" i="1"/>
  <c r="M167" i="1"/>
  <c r="N166" i="1"/>
  <c r="N164" i="1"/>
  <c r="N167" i="1" l="1"/>
  <c r="M60" i="1"/>
  <c r="N60" i="1" s="1"/>
  <c r="M59" i="1"/>
  <c r="N59" i="1" s="1"/>
  <c r="M36" i="1"/>
  <c r="N36" i="1" s="1"/>
  <c r="N15" i="1" l="1"/>
  <c r="M160" i="1"/>
  <c r="N160" i="1" s="1"/>
  <c r="M68" i="1"/>
  <c r="N68" i="1" s="1"/>
  <c r="M67" i="1"/>
  <c r="N67" i="1" s="1"/>
  <c r="M66" i="1"/>
  <c r="N66" i="1" s="1"/>
  <c r="N24" i="1"/>
  <c r="K24" i="1"/>
  <c r="N23" i="1"/>
  <c r="K23" i="1"/>
  <c r="N22" i="1"/>
  <c r="K22" i="1"/>
  <c r="M72" i="1" l="1"/>
  <c r="N72" i="1" s="1"/>
  <c r="M55" i="1"/>
  <c r="N55" i="1" s="1"/>
  <c r="M54" i="1"/>
  <c r="N54" i="1" s="1"/>
  <c r="N294" i="1" l="1"/>
  <c r="N295" i="1"/>
  <c r="N296" i="1"/>
  <c r="N298" i="1"/>
  <c r="N297" i="1"/>
  <c r="M163" i="1"/>
  <c r="N163" i="1" s="1"/>
  <c r="N343" i="1"/>
  <c r="N342" i="1"/>
  <c r="N341" i="1"/>
  <c r="N340" i="1"/>
  <c r="N339" i="1"/>
  <c r="L145" i="1"/>
  <c r="M145" i="1" s="1"/>
  <c r="N145" i="1" s="1"/>
  <c r="L144" i="1"/>
  <c r="M144" i="1" s="1"/>
  <c r="N144" i="1" s="1"/>
  <c r="L142" i="1"/>
  <c r="M142" i="1" s="1"/>
  <c r="N142" i="1" s="1"/>
  <c r="L141" i="1"/>
  <c r="M141" i="1" s="1"/>
  <c r="N141" i="1" s="1"/>
  <c r="L140" i="1"/>
  <c r="M140" i="1" s="1"/>
  <c r="N140" i="1" s="1"/>
  <c r="L139" i="1"/>
  <c r="M139" i="1" s="1"/>
  <c r="N139" i="1" s="1"/>
  <c r="L138" i="1"/>
  <c r="M138" i="1" s="1"/>
  <c r="N138" i="1" s="1"/>
  <c r="L137" i="1"/>
  <c r="M137" i="1" s="1"/>
  <c r="N137" i="1" s="1"/>
  <c r="M136" i="1"/>
  <c r="N136" i="1" s="1"/>
  <c r="M135" i="1"/>
  <c r="N135" i="1" s="1"/>
  <c r="L134" i="1"/>
  <c r="M134" i="1" s="1"/>
  <c r="N134" i="1" s="1"/>
  <c r="L133" i="1"/>
  <c r="M133" i="1" s="1"/>
  <c r="N133" i="1" s="1"/>
  <c r="M132" i="1"/>
  <c r="N132" i="1" s="1"/>
  <c r="L131" i="1"/>
  <c r="M131" i="1" s="1"/>
  <c r="N131" i="1" s="1"/>
  <c r="L130" i="1"/>
  <c r="M130" i="1" s="1"/>
  <c r="N130" i="1" s="1"/>
  <c r="L129" i="1"/>
  <c r="M129" i="1" s="1"/>
  <c r="N129" i="1" s="1"/>
  <c r="L128" i="1"/>
  <c r="M128" i="1" s="1"/>
  <c r="N128" i="1" s="1"/>
  <c r="L127" i="1"/>
  <c r="M127" i="1" s="1"/>
  <c r="N127" i="1" s="1"/>
  <c r="L126" i="1"/>
  <c r="M126" i="1" s="1"/>
  <c r="N126" i="1" s="1"/>
  <c r="M114" i="1" l="1"/>
  <c r="N114" i="1" s="1"/>
  <c r="M29" i="1"/>
  <c r="N155" i="1"/>
  <c r="L234" i="1" l="1"/>
  <c r="M234" i="1" s="1"/>
  <c r="N234" i="1" s="1"/>
  <c r="L233" i="1"/>
  <c r="M233" i="1" s="1"/>
  <c r="N233" i="1" s="1"/>
  <c r="L232" i="1"/>
  <c r="M232" i="1" s="1"/>
  <c r="N232" i="1" s="1"/>
  <c r="L231" i="1"/>
  <c r="M231" i="1" s="1"/>
  <c r="N231" i="1" s="1"/>
  <c r="L230" i="1"/>
  <c r="M230" i="1" s="1"/>
  <c r="N230" i="1" s="1"/>
  <c r="L229" i="1"/>
  <c r="M229" i="1" s="1"/>
  <c r="N229" i="1" s="1"/>
  <c r="M228" i="1"/>
  <c r="N228" i="1" s="1"/>
  <c r="M192" i="1"/>
  <c r="N192" i="1" s="1"/>
  <c r="M191" i="1"/>
  <c r="N191" i="1" s="1"/>
  <c r="M190" i="1"/>
  <c r="N190" i="1" s="1"/>
  <c r="M189" i="1"/>
  <c r="N189" i="1" s="1"/>
  <c r="M188" i="1"/>
  <c r="N188" i="1" s="1"/>
  <c r="M187" i="1"/>
  <c r="N187" i="1" s="1"/>
  <c r="M186" i="1"/>
  <c r="N186" i="1" s="1"/>
  <c r="M185" i="1"/>
  <c r="N185" i="1" s="1"/>
  <c r="M184" i="1"/>
  <c r="N184" i="1" s="1"/>
  <c r="M183" i="1"/>
  <c r="N183" i="1" s="1"/>
  <c r="M182" i="1"/>
  <c r="N182" i="1" s="1"/>
  <c r="L181" i="1"/>
  <c r="M181" i="1" s="1"/>
  <c r="N181" i="1" s="1"/>
  <c r="M180" i="1"/>
  <c r="N180" i="1" s="1"/>
  <c r="M179" i="1"/>
  <c r="N179" i="1" s="1"/>
  <c r="N247" i="1" l="1"/>
  <c r="N262" i="1"/>
  <c r="N337" i="1" l="1"/>
  <c r="N336" i="1"/>
  <c r="N335" i="1"/>
  <c r="N334" i="1" l="1"/>
  <c r="N333" i="1"/>
  <c r="N332" i="1"/>
  <c r="N320" i="1"/>
  <c r="N154" i="1"/>
  <c r="N331" i="1" l="1"/>
  <c r="N330" i="1"/>
  <c r="N329" i="1"/>
  <c r="N328" i="1"/>
  <c r="N246" i="1"/>
  <c r="N245" i="1" l="1"/>
  <c r="N153" i="1"/>
  <c r="N159" i="1"/>
  <c r="N152" i="1" l="1"/>
  <c r="N158" i="1"/>
  <c r="N70" i="1"/>
  <c r="M69" i="1"/>
  <c r="N69" i="1" s="1"/>
  <c r="M38" i="1"/>
  <c r="N327" i="1" l="1"/>
  <c r="N326" i="1" l="1"/>
  <c r="N265" i="1"/>
  <c r="N157" i="1"/>
  <c r="N156" i="1"/>
  <c r="N151" i="1"/>
  <c r="N150" i="1"/>
  <c r="L125" i="1"/>
  <c r="M125" i="1" s="1"/>
  <c r="N125" i="1" s="1"/>
  <c r="L124" i="1"/>
  <c r="M124" i="1" s="1"/>
  <c r="N124" i="1" s="1"/>
  <c r="M123" i="1"/>
  <c r="N123" i="1" s="1"/>
  <c r="M122" i="1"/>
  <c r="N122" i="1" s="1"/>
  <c r="M121" i="1"/>
  <c r="N121" i="1" s="1"/>
  <c r="M120" i="1"/>
  <c r="N120" i="1" s="1"/>
  <c r="M119" i="1"/>
  <c r="N119" i="1" s="1"/>
  <c r="L118" i="1"/>
  <c r="M118" i="1" s="1"/>
  <c r="N118" i="1" s="1"/>
  <c r="L117" i="1"/>
  <c r="M117" i="1" s="1"/>
  <c r="N117" i="1" s="1"/>
  <c r="L116" i="1"/>
  <c r="M116" i="1" s="1"/>
  <c r="N116" i="1" s="1"/>
  <c r="L115" i="1"/>
  <c r="M115" i="1" s="1"/>
  <c r="N115" i="1" s="1"/>
  <c r="M113" i="1"/>
  <c r="N113" i="1" s="1"/>
  <c r="M64" i="1"/>
  <c r="N64" i="1" s="1"/>
  <c r="M50" i="1" l="1"/>
  <c r="N28" i="1"/>
  <c r="N29" i="1"/>
  <c r="N50" i="1" l="1"/>
  <c r="N325" i="1"/>
  <c r="K49" i="1"/>
  <c r="N26" i="1" l="1"/>
  <c r="N319" i="1"/>
  <c r="N318" i="1"/>
  <c r="N317" i="1"/>
  <c r="N314" i="1"/>
  <c r="N272" i="1"/>
  <c r="N17" i="1"/>
  <c r="N18" i="1"/>
  <c r="M21" i="1"/>
  <c r="N38" i="1"/>
  <c r="N39" i="1"/>
  <c r="N40" i="1"/>
  <c r="N41" i="1"/>
  <c r="N61" i="1"/>
  <c r="M63" i="1"/>
  <c r="N63" i="1" s="1"/>
  <c r="M65" i="1"/>
  <c r="N65" i="1" s="1"/>
  <c r="N90" i="1"/>
  <c r="N92" i="1"/>
  <c r="N93" i="1"/>
  <c r="N94" i="1"/>
  <c r="N95" i="1"/>
  <c r="N99" i="1"/>
  <c r="N100" i="1"/>
  <c r="N104" i="1"/>
  <c r="M105" i="1"/>
  <c r="N105" i="1" s="1"/>
  <c r="M106" i="1"/>
  <c r="M109" i="1"/>
  <c r="N109" i="1" s="1"/>
  <c r="M110" i="1"/>
  <c r="N110" i="1" s="1"/>
  <c r="N111" i="1"/>
  <c r="N112" i="1"/>
  <c r="N267" i="1"/>
  <c r="N21" i="1" l="1"/>
  <c r="M242" i="1"/>
  <c r="M398" i="1" s="1"/>
  <c r="N19" i="1"/>
  <c r="N301" i="1"/>
  <c r="N302" i="1"/>
  <c r="N303" i="1"/>
  <c r="N304" i="1"/>
  <c r="N305" i="1"/>
  <c r="N306" i="1"/>
  <c r="N307" i="1"/>
  <c r="N308" i="1"/>
  <c r="N309" i="1"/>
  <c r="N310" i="1"/>
  <c r="N312" i="1"/>
  <c r="N313" i="1"/>
  <c r="N300" i="1"/>
  <c r="N275" i="1"/>
  <c r="N274" i="1"/>
  <c r="N273" i="1"/>
  <c r="N271" i="1"/>
  <c r="N242" i="1" l="1"/>
  <c r="N293" i="1"/>
  <c r="N268" i="1"/>
  <c r="N266" i="1"/>
  <c r="N264" i="1"/>
  <c r="N281" i="1" l="1"/>
  <c r="N397" i="1" l="1"/>
  <c r="N398" i="1"/>
  <c r="N244" i="1"/>
  <c r="N279" i="1"/>
  <c r="N278" i="1"/>
</calcChain>
</file>

<file path=xl/comments1.xml><?xml version="1.0" encoding="utf-8"?>
<comments xmlns="http://schemas.openxmlformats.org/spreadsheetml/2006/main">
  <authors>
    <author>Автор</author>
  </authors>
  <commentList>
    <comment ref="C118" authorId="0">
      <text>
        <r>
          <rPr>
            <b/>
            <sz val="10"/>
            <color indexed="81"/>
            <rFont val="Tahoma"/>
            <family val="2"/>
            <charset val="204"/>
          </rPr>
          <t>Автор:</t>
        </r>
        <r>
          <rPr>
            <sz val="10"/>
            <color indexed="81"/>
            <rFont val="Tahoma"/>
            <family val="2"/>
            <charset val="204"/>
          </rPr>
          <t xml:space="preserve">
на выгрузку селитры</t>
        </r>
      </text>
    </comment>
  </commentList>
</comments>
</file>

<file path=xl/sharedStrings.xml><?xml version="1.0" encoding="utf-8"?>
<sst xmlns="http://schemas.openxmlformats.org/spreadsheetml/2006/main" count="3660" uniqueCount="531">
  <si>
    <t xml:space="preserve">№ </t>
  </si>
  <si>
    <t>Наименование организации</t>
  </si>
  <si>
    <t xml:space="preserve">Наименование закупаемых товаров, работ и услуг </t>
  </si>
  <si>
    <t xml:space="preserve">Краткая характеристика (описание) товаров, работ и услуг </t>
  </si>
  <si>
    <t>Способ закупок</t>
  </si>
  <si>
    <t xml:space="preserve">Место (адрес)  осуществления закупок </t>
  </si>
  <si>
    <t>Срок осуществления закупок (предполагаемая дата/месяц проведения)</t>
  </si>
  <si>
    <t>Регион, место поставки товара, выполнения работ, оказания услуг</t>
  </si>
  <si>
    <t>Сроки и график поставки товаров, выполнения работ, оказания услуг</t>
  </si>
  <si>
    <t>Ед. измерен.</t>
  </si>
  <si>
    <t>Кол-во, объем</t>
  </si>
  <si>
    <t>Маркетинговая цена за единицу, тенге без НДС</t>
  </si>
  <si>
    <t>Сумма, планируемая для закупок ТРУ без НДС,  тенге</t>
  </si>
  <si>
    <t>Сумма,  планируемая для закупки ТРУ с НДС,  тенге</t>
  </si>
  <si>
    <t>Год закупки</t>
  </si>
  <si>
    <t>1. Товары</t>
  </si>
  <si>
    <t xml:space="preserve">Утвержден 
</t>
  </si>
  <si>
    <t>с 1 января до 31 декабря 2014 года</t>
  </si>
  <si>
    <t>Топливо дизельное</t>
  </si>
  <si>
    <t>летнее, плотность при 20 °С не более 860 кг/м3, температура застывания не выше -10°С</t>
  </si>
  <si>
    <t>ОИ</t>
  </si>
  <si>
    <t>литр</t>
  </si>
  <si>
    <t>Бензин</t>
  </si>
  <si>
    <t>неэтилированный и этилированный, произведенный для двигателей с искровым зажиганием: АИ-80</t>
  </si>
  <si>
    <t>ЦП</t>
  </si>
  <si>
    <t>с даты вступления в силу договора и до 30 декабря 2014 года</t>
  </si>
  <si>
    <t>Услуги по предсменному медицинскому освидетельствованию</t>
  </si>
  <si>
    <t>Предсменное медицинское освидетельствование</t>
  </si>
  <si>
    <t>Электроэнергия</t>
  </si>
  <si>
    <t>ГОСТ 13109-97 для собственного потребления</t>
  </si>
  <si>
    <t>Киловатт</t>
  </si>
  <si>
    <t>Итого по товарам:</t>
  </si>
  <si>
    <t>2013-2014</t>
  </si>
  <si>
    <t>Услуги по водоснабжению и водоотведению</t>
  </si>
  <si>
    <t>Услуги по распределению горячей воды (тепловой энергии) на  коммунально-бытовые нужды</t>
  </si>
  <si>
    <t>Услуги по передаче, распределению горячей воды (тепловой энергии) на  коммунально-бытовые нужды</t>
  </si>
  <si>
    <t>Услуги телефонной связи</t>
  </si>
  <si>
    <t>Услуги фиксированной местной, междугородней, международной телефонной связи  - доступ и пользование</t>
  </si>
  <si>
    <t>Услуги по подписке на другие периодические издания</t>
  </si>
  <si>
    <t>Итого по услугам:</t>
  </si>
  <si>
    <t>ВСЕГО:</t>
  </si>
  <si>
    <t>с 1 января по 31 декабря 2014 года</t>
  </si>
  <si>
    <t>г.Астана, ул.Достык, 18</t>
  </si>
  <si>
    <t>зимнее, плотность при 20 °С не более 840 кг/м3, температура застывания не выше -35°С - - 45°С</t>
  </si>
  <si>
    <t>неэтилированный и этилированный, произведенный для двигателей с искровым зажиганием: АИ-92</t>
  </si>
  <si>
    <t>АО "Кедентранссервис"</t>
  </si>
  <si>
    <t xml:space="preserve">Услуги по доступу к Интернету </t>
  </si>
  <si>
    <t>Услуги, направленные на предоставление доступа к Интернету широкополосному по сетям проводным</t>
  </si>
  <si>
    <t>Перечень первоочередных закупок товаров, работ и услуг АО "Кедентранссервис" на 2014 год</t>
  </si>
  <si>
    <t xml:space="preserve">АО «Кедентранссервис»  
</t>
  </si>
  <si>
    <t>Услуги почтовые</t>
  </si>
  <si>
    <t>Услуги по вывозу твердо-бытовых отходов</t>
  </si>
  <si>
    <t>Выполнение операций по сбору, утилизации, размещению или удалению отходов</t>
  </si>
  <si>
    <t>Услуги по вывозу жидко - бытовых отходов</t>
  </si>
  <si>
    <t>Вывоз и утилизация жидкобытовых отходов</t>
  </si>
  <si>
    <t>Услуги по предоставлению во временное пользование пассажирских вагонов</t>
  </si>
  <si>
    <t>перевозка производственного персонала</t>
  </si>
  <si>
    <t>Услуги страхования гражданско-правовой ответственности владельцев СВХ</t>
  </si>
  <si>
    <t>Услуги по страхованию имущества</t>
  </si>
  <si>
    <t>филиалы АО "КДТС" г.Актобе, г.Усть-Каменогорск, г.Костанай, г.Павлодар, г.Актау, г.Шымкент,г.Уральск</t>
  </si>
  <si>
    <t>Услуги по оценке (экспертизе) имущества недвижимого, предоставляемые за вознаграждение или на договорной основе</t>
  </si>
  <si>
    <t>Услуги по оценке справедливой информации стоимости объектов недвижимости</t>
  </si>
  <si>
    <t>Текущий ремонт и обслуживание подкрановых путей</t>
  </si>
  <si>
    <t>Ремонт подкранового пути № 427</t>
  </si>
  <si>
    <t>с даты подписания договора в течение 15 календарных дней со дня получения Подрядчиком авансового платежа</t>
  </si>
  <si>
    <t>Услуги полиграфии</t>
  </si>
  <si>
    <t>Услуги по изготовлению полиграфической продукции</t>
  </si>
  <si>
    <t>с даты подписания до 31 декабря 2014 года</t>
  </si>
  <si>
    <t>с даты подписания договора до 31 декабря 2014 года</t>
  </si>
  <si>
    <t>Хозяйственный товары в ассортименте</t>
  </si>
  <si>
    <t xml:space="preserve"> с даты подписания договора до полного исполнения </t>
  </si>
  <si>
    <t>Канцелярские товары</t>
  </si>
  <si>
    <t>канцелярские товары в ассортименте</t>
  </si>
  <si>
    <t>Питьевая вода (буилированная) 19 литровая</t>
  </si>
  <si>
    <t>11-ти ступечатая технология воды (фильтр грубой очистки, картридж-фильтрация от 5 до 30 микрон, кварцевый песок, активированный уголь, ионообменный гранулат, фильтр тонкой очистки тройная обработка осмоса - 0,0007 микрон, обогащение кислородом, озоном 19 л</t>
  </si>
  <si>
    <t>Свежесрезанные цветы</t>
  </si>
  <si>
    <t>Свежесрезанные цветы в ассортименте</t>
  </si>
  <si>
    <t>2. Работы</t>
  </si>
  <si>
    <t>Итого по работам:</t>
  </si>
  <si>
    <t>спутниковая связь Турайя</t>
  </si>
  <si>
    <t xml:space="preserve">Разработка и внедрение онлайн-модуля системы оповещения о проведении  закупок товаров, работ и услуг </t>
  </si>
  <si>
    <t>модуль Закупки</t>
  </si>
  <si>
    <t>Заправка картриджей для лазерных принтеров и копировальной техники</t>
  </si>
  <si>
    <t>услуги по заправке картриджей и техническое обслуживание оргтехники ЦА</t>
  </si>
  <si>
    <t>с 1 января по 31 декабря 2013 года</t>
  </si>
  <si>
    <t>Услуги по сопровождению и технической поддержке информационной системы</t>
  </si>
  <si>
    <t>Услуги связи АО"Транстелеком"</t>
  </si>
  <si>
    <t>Услуги связи АО"ASTEL"</t>
  </si>
  <si>
    <t>Услуги связи ТОО "ALACAST"</t>
  </si>
  <si>
    <t>Услуги связи ТОО "Жарык"</t>
  </si>
  <si>
    <t>Услуги связи "Казахтелеком"</t>
  </si>
  <si>
    <t>Информационные услуги. Услуги по предоставлению информации: из системы АСОУП и ЕК ИОДВ, о дислокации вагонов по данным вагонной модели дороги РК, СНГ и странам Балтии; из автоматизированной базы данных парка вагонов (далее АБД ПВ); по переходу через межгосударственные стыковые пункты, формируемой в филиале АО «НК «КТЖ» - «ГВЦ»</t>
  </si>
  <si>
    <t>Услуги по сопровождению ИРС "Перевозки"</t>
  </si>
  <si>
    <t>Услуги по сопровождению системы электронного документооборота</t>
  </si>
  <si>
    <t>Телеграммы, телефония, аренда порта, аренда канала</t>
  </si>
  <si>
    <t>VPN, Интернет</t>
  </si>
  <si>
    <t>цифровое телевещание</t>
  </si>
  <si>
    <t>Интернет, VPN, телефония</t>
  </si>
  <si>
    <t>ЦА г.Астана, ул. Достык, 18. Филиал по ст. Достык ППК</t>
  </si>
  <si>
    <t>Алтынколь, ВКО, Семей, Кокшетау</t>
  </si>
  <si>
    <t>Типоразмер перерабатываемых контейнеров: 1СС, 1ВВ, 1АА, 1ААА.
Грузозахватный орган: автоматический раздвижной спредер для захвата и подъема контейнера за верхние фитинги.
Тип двигателя: дизельный.
Высота складирования контейнеров: 5 ярусов.
Вес контейнера при складировании не менее:
1 ряд – 45 тн;
2 ряд – 31 тн;
3 ряд – 16 тн.
Температура воздуха: - 40С + 40С.</t>
  </si>
  <si>
    <t>Типоразмер перерабатываемых контейнеров: 1СС, 1ВВ, 1АА, 1ААА.
Грузозахватный орган: автоматический раздвижной спредер для захвата и подъема контейнера за верхние фитинги.
Тип двигателя: дизельный.
Высота складирования контейнеров: 5 ярусов.
Вес контейнера при складировании не менее:
1 ряд – 45 тн;
2 ряд – 33 тн;
3 ряд – 33 тн.
Температура воздуха: - 40С + 40С.</t>
  </si>
  <si>
    <t>Грузоподъемность  - 1750 кг, Расстояние от центра массы груза до cпинки вил 500 мм, Максимальная высота подъема груза на вилах - 2870 мм, Свободная высота подъема груза - 710 (1365)*2 мм, Общая ширина машины – 1070 мм, Длина машины до спинки вил – 2315 мм, Общая высота по защитному ограждению – 1930 мм, Колесная база – 1485 мм, Радиус поворота (внешний) – 2010 мм, Минимальная ширина пересекающихся проездов мм – 1860 мм, Базовая ширина проездов для разворота машины с грузом на 90° (без учета длины груза и зазора) – 2420 мм, Тип двигателя – дизельный, Рабочий объем цилиндров – 2486 куб. см, Номинальная мощность (кВт)/ об/мин - 40/2400, Крутящий момент при номинальной нагрузке (Н-м)/ об/мин - 166/1600.</t>
  </si>
  <si>
    <t>Топливозаправщик емкостью не менее 4 куб.м.</t>
  </si>
  <si>
    <t>Автомобильный топливозаправщик на базе на шасси ГАЗ-3309, объем цистерны 4,9 м3, двигатель дизельный, привод задний,  раздаточные шланги и пистолет, счетчик ППО-40, насос СЦЛ-00А.</t>
  </si>
  <si>
    <t>с даты подписания договора до 01 июля 2014года</t>
  </si>
  <si>
    <t>с даты подписания договора до 01 мая 2014года</t>
  </si>
  <si>
    <t>штука</t>
  </si>
  <si>
    <t>Устройство площадки для хранения контейнеров</t>
  </si>
  <si>
    <t>Сдвижка подъездного пути длиной 500 м в сторону 3-4 м, устройство щебеночного покрытия для хранения контейнеров</t>
  </si>
  <si>
    <t>Разработка ПСД реконструкции контейнерной площадки с устройством подкранового пути и зоны СВХ с передислокацией крана К-305 и демонтажа крана КК-20-25</t>
  </si>
  <si>
    <t>Разработка технико экономического обоснования развития грузового двора ст. Атырау</t>
  </si>
  <si>
    <t>Подключение здания общежития, комплекса одноэтажных зданий общежития (Рошевского) к центральным сетям отопления (завершение работы 2013г)</t>
  </si>
  <si>
    <t>Разработка ПСД устройства системы вентиляции здания ангара</t>
  </si>
  <si>
    <t>Разработка ПСД строительства склада для материалов</t>
  </si>
  <si>
    <t>с даты подписания договора до 01 марта 2014года</t>
  </si>
  <si>
    <t>летнее, плотность при 20 °С не более 860 кг/м3, температура застывания не выше -10°С зимнее, плотность при 20 °С не более 840 кг/м3, температура застывания не выше -35°С - - 45°С</t>
  </si>
  <si>
    <t>2700*150*150, 2700*150*100, 2700*100*100</t>
  </si>
  <si>
    <t>клей на основе синтетики</t>
  </si>
  <si>
    <t>для обклеивания вагона с внутренней стороны в противопожарном отношении</t>
  </si>
  <si>
    <t>Пиломатериал</t>
  </si>
  <si>
    <t>брус</t>
  </si>
  <si>
    <t xml:space="preserve">Катанка отожженная </t>
  </si>
  <si>
    <t>гвозди</t>
  </si>
  <si>
    <t>жидкое стекло</t>
  </si>
  <si>
    <t>крафтбумага</t>
  </si>
  <si>
    <t>метр кубический</t>
  </si>
  <si>
    <t>тонна</t>
  </si>
  <si>
    <t>Канцтовары</t>
  </si>
  <si>
    <t>Курьерские услуги</t>
  </si>
  <si>
    <t>Отправка экспресс почты</t>
  </si>
  <si>
    <t>Услуги по дератизации и дезинсекции</t>
  </si>
  <si>
    <t>Услуги по обслуживанию пожарно-охранной сигнализации</t>
  </si>
  <si>
    <t xml:space="preserve">Услуги по обслуживанию системы видеонаблюдения </t>
  </si>
  <si>
    <t>Услуги по обслуживанию оргтехники</t>
  </si>
  <si>
    <t>Услуги по обслуживанию кассовых аппаратов</t>
  </si>
  <si>
    <t>ГОСТ 13109-97 для собственного потребления для Атырау</t>
  </si>
  <si>
    <t>Грузовой терминал на ст.Мангишлак (Актау)</t>
  </si>
  <si>
    <t>канцтовары</t>
  </si>
  <si>
    <t>Хозяйственные товары</t>
  </si>
  <si>
    <t>мыло, полотенца, моющие средства и др материалы</t>
  </si>
  <si>
    <t>материалы за автомашину Газель</t>
  </si>
  <si>
    <t>Грузовой терминал на ст. Мангишлак (Актау)</t>
  </si>
  <si>
    <t>Покупная питьевая вода</t>
  </si>
  <si>
    <t>Питьевая вода для офиса</t>
  </si>
  <si>
    <t>Сопровождение программного обеспечения</t>
  </si>
  <si>
    <t>Обслуживание, сопровождение программного обеспечения</t>
  </si>
  <si>
    <t>Ремонт</t>
  </si>
  <si>
    <t xml:space="preserve"> заправка картриджей по г. Атырау</t>
  </si>
  <si>
    <t>Ремонт орг.техники по г.Атырау</t>
  </si>
  <si>
    <t>Услуги метрологии</t>
  </si>
  <si>
    <t xml:space="preserve">Услуги гидрометерологии, справки </t>
  </si>
  <si>
    <t>Автоуслуги</t>
  </si>
  <si>
    <t xml:space="preserve">Аутсорсинг </t>
  </si>
  <si>
    <t>Услуги СЭС</t>
  </si>
  <si>
    <t>Дезинсекция и  дератизация помещений в здании по Атырау</t>
  </si>
  <si>
    <t>Аренда</t>
  </si>
  <si>
    <t>Аренда легкового автотранспорта по Актау</t>
  </si>
  <si>
    <t xml:space="preserve">Ремонт электродвигателя  </t>
  </si>
  <si>
    <t xml:space="preserve">канц. товары, </t>
  </si>
  <si>
    <t xml:space="preserve"> хозяйственные  товары</t>
  </si>
  <si>
    <t>филиал АО "КДТС" по Павлодарской области г. Павлодар,           ул. Товарная 25</t>
  </si>
  <si>
    <t>Масло</t>
  </si>
  <si>
    <t>масло МГ-10</t>
  </si>
  <si>
    <t>канцтовары (бумага, ручки, папки, скоросшиватели и т.д.)</t>
  </si>
  <si>
    <t>Гидрометеообслуживание</t>
  </si>
  <si>
    <t>СЭС и дератизация</t>
  </si>
  <si>
    <t>Заправка картриджей</t>
  </si>
  <si>
    <t>Обслуживание оргтехники и принтеров</t>
  </si>
  <si>
    <t>Услуги по переплету документов</t>
  </si>
  <si>
    <t>Услуги по переплету архивных дел</t>
  </si>
  <si>
    <t>Маска сварщика</t>
  </si>
  <si>
    <t>Сварочная маска с двойным экраном и подымающимся затемненным стеклом.</t>
  </si>
  <si>
    <t>Каска</t>
  </si>
  <si>
    <t>Каска защитная с противоударным пластиком</t>
  </si>
  <si>
    <t xml:space="preserve"> Диэлектрические боты</t>
  </si>
  <si>
    <t xml:space="preserve"> Диэлектрические боты с защитой от воздействия электрического тока до 1000 ВТ</t>
  </si>
  <si>
    <t>пара</t>
  </si>
  <si>
    <t xml:space="preserve"> Респираторы</t>
  </si>
  <si>
    <t>средство индивидуальной защиты органов дыхания от попадания аэрозолей (пыль, дым, туман) и/или вредных газов</t>
  </si>
  <si>
    <t xml:space="preserve"> Очки защитные</t>
  </si>
  <si>
    <t>Очки защитные с линзой из противоударного поликарбоната</t>
  </si>
  <si>
    <t>Рукавицы комбинированные и пятипалые</t>
  </si>
  <si>
    <t>Рукавицы комбинированные и пятипалые с водоотталкивающими пропитками</t>
  </si>
  <si>
    <t>Рукавицы брезентовые</t>
  </si>
  <si>
    <t xml:space="preserve">Рукавицы брезентовые,. Брезент, плотность 480 г/м2  </t>
  </si>
  <si>
    <t>Диэлектрические перчатки</t>
  </si>
  <si>
    <t>Перчатки защитные от электрического тока, электростатических зарядов и полей, электрических и электромагнитных полей.</t>
  </si>
  <si>
    <t>чистящее средство, мыло хозяйственное, перчатки резиновые, ткань обтирочная, порошок, туалетная бумага, освежитель воздуха</t>
  </si>
  <si>
    <t>Бумага А4, ручка шариковая, карандаш простой, ластик, лоток, скобы для степлера, стикеры для записей клеющиеся, чернила для штампов</t>
  </si>
  <si>
    <t>Услуги по предсменному медицинскому профосмотру</t>
  </si>
  <si>
    <t>Обязательный ежегодный профосмотр</t>
  </si>
  <si>
    <t>Услуги метеорологии</t>
  </si>
  <si>
    <t>Предоставление справок по метеоусловиям</t>
  </si>
  <si>
    <t>Оказание клиниговых услуг</t>
  </si>
  <si>
    <t>филиал АО "КДТС" по Павлодарской области г.Павлодар,           ул. Товарная 25</t>
  </si>
  <si>
    <t>филиал АО "КДТС" по г.Алматы и Алматинской области г.Алматы, ул.Северное кольцо, 57</t>
  </si>
  <si>
    <t xml:space="preserve">Ежедневная влажная уборка офисных помещений, включая сан/узлы, коридоры 13 и 14 этажей БЦ "Москва". </t>
  </si>
  <si>
    <t>45 дней с момента оплаты авансового платежа</t>
  </si>
  <si>
    <t>филиал АО "Кедентранссервис" по г.Алматы и Алматинской области г.Алматы, ул.Северное кольцо, 57</t>
  </si>
  <si>
    <t>Закуп работ по ремонту поворотного кулака погрузчика "Кальмар"</t>
  </si>
  <si>
    <t>поворотный кулак погрузчика "Кальмар"</t>
  </si>
  <si>
    <t>Выполнение текущего отцепочного ремонта арендованных фитинговых платформ по территории Казахстан и СНГ и стран Балтии</t>
  </si>
  <si>
    <t>Ремонт вагонов производит строго соответствии с требованиями руководства "Грузовые вагоны железных дорог колеи 1520 мм. Руководству по текущему отцепочному ремонту" (РД 32ЦВ-056-97/1)., Инструкции по техническому обслуживанию ваонов в эксплуатации (инструкция осмотрщику вагонов) ЦВ-ЦЛ-408 2009 г, утвержденной Советом по ж.д. транспорту госудаоств-участников содружества (пртокол от 21-22.05.2009 №50).</t>
  </si>
  <si>
    <t>г. Астана</t>
  </si>
  <si>
    <t>Аренда вагонов</t>
  </si>
  <si>
    <t>Для перевозки крупнотоннажных контейнеров по сети железных дорог колей 1520мм:</t>
  </si>
  <si>
    <t>Поставка хозяйственных товаров</t>
  </si>
  <si>
    <t>обслуживание автоматической пожарной сигнализации, видео</t>
  </si>
  <si>
    <t>обслуживание оргтехники и принтеров</t>
  </si>
  <si>
    <t>Полиграфические услуги</t>
  </si>
  <si>
    <t>Обслуживание автоматической пожарной сигнализации</t>
  </si>
  <si>
    <t>Обслуживание видео наблюдения</t>
  </si>
  <si>
    <t xml:space="preserve"> обслуживание кассовых аппаратов </t>
  </si>
  <si>
    <t>проездные билеты</t>
  </si>
  <si>
    <t>ТО Локомотивной тяги (Тех. Обслуж.№ 2,3,6,7)</t>
  </si>
  <si>
    <t>Автомойка</t>
  </si>
  <si>
    <t>автомойка</t>
  </si>
  <si>
    <t>ТО служебного авто</t>
  </si>
  <si>
    <t>Услуги по обслеживанию оргтехники и принтеров</t>
  </si>
  <si>
    <t>услуги, направленные на обслуживание оргтехники и принтеров, заправка картриджей</t>
  </si>
  <si>
    <t>Услуги СЭС и дератизации</t>
  </si>
  <si>
    <t>Услуги по обслуживанию охранной и пожарной сигнализации</t>
  </si>
  <si>
    <t>Командоконтроллер для КС-50-42В</t>
  </si>
  <si>
    <t>Приобретение электрического вибратора для очистки полувагонов</t>
  </si>
  <si>
    <t>согласно технического задания АРФ</t>
  </si>
  <si>
    <t xml:space="preserve">Приобретение грузового автомобиля </t>
  </si>
  <si>
    <t>Тип кузова - самосвал, грузоподьемность 9-12 тонн, тип двигателя дизельный, Максимальная полезная мощность - 265 кВт, Направление разгрузки - трехсторонее</t>
  </si>
  <si>
    <t>Легковой автомобиль внедорожник</t>
  </si>
  <si>
    <t>Колесная формула 4 х 4, кол-во мест 12-14, тип двигателя - бензин</t>
  </si>
  <si>
    <t>Микроавтобус на 12-14 мест</t>
  </si>
  <si>
    <t>Приобретение вакуумной подметально-уборочной машины</t>
  </si>
  <si>
    <t>Станок циркулярная пила (2-5 кВт) переносной, 380 В.</t>
  </si>
  <si>
    <t xml:space="preserve">Сварочный трансформатор для ручной дуговой сварки, 380 В. </t>
  </si>
  <si>
    <t>Напряжение питающей сети  - 380 В, Номинальный сварочный ток - 160, Диаметр применяемого электрода - 2-4 мм., Номинальное рабочее напряжение - 26 В, Напряжение холостого хода - 63 В, Номинальный первичный ток - 50 А</t>
  </si>
  <si>
    <t xml:space="preserve">Разработка технико экономического обоснования развития грузового двора ст. Актобе </t>
  </si>
  <si>
    <t>Разработка технико экономического обоснования реконструкции грузового двора на ст.Караганда</t>
  </si>
  <si>
    <t>Разработка технико экономического обоснования реконструкции грузового двора на ст.Шымкент</t>
  </si>
  <si>
    <t>согласно технического задания</t>
  </si>
  <si>
    <t>с даты подписания договора до 01 апреля 2014 года</t>
  </si>
  <si>
    <t xml:space="preserve"> с даты подрисания договора до 01 июля 2014года</t>
  </si>
  <si>
    <t>Приказом Президента</t>
  </si>
  <si>
    <t>3.Услуги</t>
  </si>
  <si>
    <t>Оформление почтовых отправлений</t>
  </si>
  <si>
    <t xml:space="preserve">Услуги экспресс почты </t>
  </si>
  <si>
    <t>стропы СКП-3,2 (d 19мм, l 8м)</t>
  </si>
  <si>
    <t>грузозахватывающие стропы диаметр 19мм</t>
  </si>
  <si>
    <t>стропы СКП-2,5 (d 16,5мм, l 6м)</t>
  </si>
  <si>
    <t>грузозахватывающие стропы диаметр 16,5 мм</t>
  </si>
  <si>
    <t>стропы СКП-2,5 (d 16,5мм, l 4м)</t>
  </si>
  <si>
    <t>грузозахватывающие стропы диаметр 16,5мм</t>
  </si>
  <si>
    <t>стропы СКП-1,6 (d 14мм, l 2м)</t>
  </si>
  <si>
    <t>грузозахватывающие стропы диаметр 14мм</t>
  </si>
  <si>
    <t>четырехветвевые стропы 4СК-25</t>
  </si>
  <si>
    <t>грузозахватывающие стропы диаметр четырехветвевые</t>
  </si>
  <si>
    <t>лампы люминисцентные 58W</t>
  </si>
  <si>
    <t xml:space="preserve">энергосберегающие лампы </t>
  </si>
  <si>
    <t xml:space="preserve">лампа ртутная прямого включения  </t>
  </si>
  <si>
    <t xml:space="preserve">лампа ртутная прямого включения  HWL-250w E40 </t>
  </si>
  <si>
    <t xml:space="preserve">лампы натриевая </t>
  </si>
  <si>
    <t>лампы натриевая NAVT 250W</t>
  </si>
  <si>
    <t xml:space="preserve">фонарики </t>
  </si>
  <si>
    <t>фонарики на аккумуляторах</t>
  </si>
  <si>
    <t xml:space="preserve">светильники для ламп накаливания </t>
  </si>
  <si>
    <t>светильники для ламп накаливания НПО 22-2х60-210</t>
  </si>
  <si>
    <t>розетка</t>
  </si>
  <si>
    <t>розетка без заземления, белая</t>
  </si>
  <si>
    <t>розетка наружная, одинарная</t>
  </si>
  <si>
    <t>выключатель</t>
  </si>
  <si>
    <t>выключатель одноклавишный, белый</t>
  </si>
  <si>
    <t>выключатель наружный, одноклавишный</t>
  </si>
  <si>
    <t>удлинитель У-045 5м (1*25) с заземлением</t>
  </si>
  <si>
    <t>удлинитель У-045-К5м (1*25) с заземлением</t>
  </si>
  <si>
    <t xml:space="preserve"> электролампа </t>
  </si>
  <si>
    <t xml:space="preserve"> электролампа 500 Вт.Е 40</t>
  </si>
  <si>
    <t xml:space="preserve">лампа накаливания </t>
  </si>
  <si>
    <t>лампа накаливания 100 ВТ</t>
  </si>
  <si>
    <t>Обслуживание пожарной сигнализации</t>
  </si>
  <si>
    <t>Текущее обслуживание системы пожарной сигнализации</t>
  </si>
  <si>
    <t>Обслуживание ККМ</t>
  </si>
  <si>
    <t>Текущее обслуживание контрольно-кассовой машины (аппарата)</t>
  </si>
  <si>
    <t>Обслуживание оргтехники</t>
  </si>
  <si>
    <t>Обслуживание оргтехники и принтеров, заправка картриджа</t>
  </si>
  <si>
    <t>СЭС</t>
  </si>
  <si>
    <t>Услуги по дератизации и демеркуризации</t>
  </si>
  <si>
    <t>Катанка 6,5</t>
  </si>
  <si>
    <t xml:space="preserve"> с 1 января по 31 декабря 2014 года</t>
  </si>
  <si>
    <t>Услуги по обслуживанию оргтехники, заправка картриджей</t>
  </si>
  <si>
    <t xml:space="preserve">Сопровождение автоматизированной системы учета (АСУ) на базе программных продуктов "1С:Преприятие 8. Управление производственным предприятием АО "Кедентранссервис" </t>
  </si>
  <si>
    <t>Специнструменты</t>
  </si>
  <si>
    <t>Ножницы по металлу,кубалда,Молоток, ножовка,диски пильные,лом,болгарка,Диск абразивный по металлу,Набор ключей и насадок,Веник,дрель с префератором,Пила Электрическая,Стремянка,Весы, Платформенные весы,Лазерный дальномер,Метрошток,Штангенциркуль цифровой,Штангенциркуль,Линейка телескопическая,Игольчатый влагомер,Влагомер.</t>
  </si>
  <si>
    <t>УСК- Д-14ММ 8М,Д-16,5ММ 6М, Д-16,5ММ 8М, Д-12ММ 2М,Д-12ММ 6М,Д-12ММ 8М,Д 18ММ 6М,Д 18ММ 8М, Д 18ММ 10МД-22ММ 6М, Д-22ММ 8М,Д-24ММ 6М,Д-24ММ 8М,Д-27ММ 8М,Д-25,5ММ 8М,Д-27ММ 8М,Д-27ММ 10М,  СТП-10ТН 8М,СТП-10ТН 10М,4СК -Д-32ММ 7М,Д-27.4-м  Г/П 16 ТН по ГОСТ 25573-82 крюк А320 11тн,   СКОБА -G2130 3,5ТН,G2130 6,5ТН,G2130 9,5ТН,G2130 13,5тн, канат стальной -14,5мм гост 2688-80,22мм ,18мм,21мм, 24мм,16мм,27мм.</t>
  </si>
  <si>
    <t>Грузозахватывающие приспособления: стропы</t>
  </si>
  <si>
    <t xml:space="preserve">Запчасти на автомобильный кран QY-25 (Китай) </t>
  </si>
  <si>
    <t>помпа,радиатор,шланги гидравлики,фильтра,фильтра гидравлики,реле стартера,свечи накала,аккумуляторные батареи.</t>
  </si>
  <si>
    <t>Запчасти  на НИВУ</t>
  </si>
  <si>
    <t>фильтра,головка двигателя,фара,шестерня,тормозные накладки,стартер,ремень вентилятора, зад мост в сборе,вал-распределитель в сборе,амортизаторы,шаровые опоры,крестовины,термостат,привод шурс в сборе,датчик коленвала,модуль зажигания,электробензонасос,генератор,помпа,маятник,полуось задние,полуось задние,сальник полуоси,поршня 82.4,кольцы,шины, колодки передние,главный цилиндр сцепления,втулки стабилизатора,диск цепление, Форсунки в комплекте с рампой.</t>
  </si>
  <si>
    <t>запчасти на ГАЗ 330700 (бензовоз)</t>
  </si>
  <si>
    <t>термостат,шаровая,шпилька колесная,фильтра,тормозные колодки,тормоз в комплекте,сапун,свечи,наконечники,ремкомплект,аккумуляторная батарея,шатун,поршневая группа с гильзой стд,МКПП-53,выжимная ступица в сборе,ведомый диск сцепление,диск сцепления,корбюратор К-135КМУ,бензонасос,патрубки,стартер,масло отражатель,прокладки двигателя,датчик распределитель Г-53,комутатор,катушка,коленвал с вкладышами,привод распределителя,сопротивление зажигания,генераторы,помпа,тормозные колодки,насос типа НША,шланг заправочный стальной обмотки,заправочный насос,фильтр масляный,фильтр топливный,счётчик раздачи топлива,стеклоочистители,фонари задние габарита стоп,лампы галогенные 12В,лапочки,свечи,домкрат 5тонн,насос АЦ,</t>
  </si>
  <si>
    <t>запчасти на КАМАЗ</t>
  </si>
  <si>
    <t>термостат,патрубки ,сапун,форсунки,Корзина сцепления,помпа,КОМ камаз,стартер,компрессор,муфта выжимная,ведомый диск цепления,радиатор камаз,фильтр масляный бумажный,фильтр масляный ниточный,фильтр толивный,фильтр воздушный,прокладка двигателя, влага отделитель,главный цилиндр сцепление,ремень,ТНВД,поршневая группа,фара евро,фонари габарит стоп,распределитель делителя,главный тормозной цилиндр,галогенные лампы 24В,лампочки,домкрат 25тонн,колодки тормозные.</t>
  </si>
  <si>
    <t>запчасти на СМВ</t>
  </si>
  <si>
    <t xml:space="preserve">фильтр возд,фильтра масл,топливный фильтр тонкой очистки,топливный фильтр грубой очистки,фильтр АКПП,Центрифуга,ремень,помпа,тепло обменник ТА130460,шланг,фильтр гидравлическии системы. </t>
  </si>
  <si>
    <t>Электроматериалы</t>
  </si>
  <si>
    <t>Рубильик 250А,Автомат 100А,250А,Лампа Энергосберегающие 40вт, Кабель Кг3х50-1х25, Лампа ДРЛ-250, Прожектор 5000вт, счетчик трехфазный, трехтарифный, Резетка, Кабель АВВГ-3х6+1х4.</t>
  </si>
  <si>
    <t>Аренда помещений</t>
  </si>
  <si>
    <t>Офисный здание (для бухгалтерии и отдела доходов)</t>
  </si>
  <si>
    <t xml:space="preserve">Заправка и Ремонт ,восстоновление картриджей, профилактика, Прошивка принтеров,Техническое обслуживание копиров. </t>
  </si>
  <si>
    <t>Услуга стоянки автотранспорта</t>
  </si>
  <si>
    <t>Покупная питьевая вода в бутылях</t>
  </si>
  <si>
    <t>бутыль</t>
  </si>
  <si>
    <t>СЭС и дератизация, демуркуризация</t>
  </si>
  <si>
    <t>Дератизация</t>
  </si>
  <si>
    <t>Гидрометерологические услуги</t>
  </si>
  <si>
    <t>Ветер и воздух в срок</t>
  </si>
  <si>
    <t>Обслуживание оргтехники, заправка картриджа</t>
  </si>
  <si>
    <t>Заправка картриджа</t>
  </si>
  <si>
    <t xml:space="preserve">Изготовление журналов регистрации </t>
  </si>
  <si>
    <t>Переплет документов</t>
  </si>
  <si>
    <t>Услуги по изготовлению бланков заказных</t>
  </si>
  <si>
    <t xml:space="preserve"> с даты подписания договора до 31 февраля 2014 года</t>
  </si>
  <si>
    <t>с даты подписания договора до 28 февраля 2014г.</t>
  </si>
  <si>
    <t xml:space="preserve">  канцтовары (бумага, ручки, папки, скоросшиватели и т.д.)</t>
  </si>
  <si>
    <t>филиал АО "КДТС" по Восточно-Казахстанской области г. Семей, пос. Восточный, 6-ые дачи</t>
  </si>
  <si>
    <t>филиал АО "КДТС" по Восточно-Казахстанской области г.Усть-Каменогорск, ул. Делегатская, 36</t>
  </si>
  <si>
    <t>филиал АО "КДТС" по ст. Достык (Алтынколь)</t>
  </si>
  <si>
    <t>филиал АО "КДТС" по Павлодарской области</t>
  </si>
  <si>
    <t>филиал АО "КДТС " по Восточно-Казахстанской области г. Семей, пос. Восточный, 6-ые дачи</t>
  </si>
  <si>
    <t>филиал АО "КДТС " по г.Алматы и Алматинской области г.Алматы   ул.Северное кольцо, 57</t>
  </si>
  <si>
    <t xml:space="preserve">Услуги по сопровождению 1С:Предприятие 8.2. 1. Изменение конфигурации и программного кода на основание заявок Заказчика. Модификация модулей программы 1С в рамках сопровождения. 2. Диагностика ошибок и их исправление, а также регулярное тестирование для их предупреж. 3. Обновление конфигурации и платформ, а так же корректная установка новых релизов с предварительным тестированиеДиагностика ошибок и их исправление, а также регулярное тестирование для их предупреждения. 4. Обеспечение горячей линии консультаций по вопросам работы в программе 1С "УПП.  5.Постоянное присутствие специалиста на промышленных участках Заказчика. 6. Настройка сервера 1С "УПП" для обеспечения высокой производительности базы данных, а так же исключение "зависания" базы данных </t>
  </si>
  <si>
    <t>запасные части на малотоннажные погрузчики Тойота</t>
  </si>
  <si>
    <t>Разработка, согласование схемы выбора, землеустроительного проекта, установления границ и изготовление гос.акта на земельный участок</t>
  </si>
  <si>
    <t>Бланочная продукция</t>
  </si>
  <si>
    <t>Приобретение моющих и дезинфецирующих средств</t>
  </si>
  <si>
    <t>ЗПУ пломбы</t>
  </si>
  <si>
    <t>Услуги по обслуживанию оргтехники и принтеров, заправка картриджей</t>
  </si>
  <si>
    <t>Услуги по поверке весов</t>
  </si>
  <si>
    <t>Очистка территории и снегоочистка</t>
  </si>
  <si>
    <t xml:space="preserve">Аренда </t>
  </si>
  <si>
    <t>Стропы</t>
  </si>
  <si>
    <t>Услуги по охране объектов</t>
  </si>
  <si>
    <t>Обслуживание</t>
  </si>
  <si>
    <t>Услуги по заправке картриджей</t>
  </si>
  <si>
    <t>Услуги по ремонту оргтехники</t>
  </si>
  <si>
    <t>Работы по ремонту электродвигателя</t>
  </si>
  <si>
    <t>Президент</t>
  </si>
  <si>
    <t>Э.Искаков</t>
  </si>
  <si>
    <t xml:space="preserve"> филиал АО "КДТС" по ст.Достык производственный участок ст.Алтынколь</t>
  </si>
  <si>
    <t>филиал АО "КДТС" по ст.Достык производственный участок ст.Алтынколь</t>
  </si>
  <si>
    <t>Спецодежда</t>
  </si>
  <si>
    <t>Костюм утепленный ГОСТ 29335-92, Утеплитель синтепон, ткань-смесовая, Ботинки кирзовые с мет носком ГОСТ 12.4.137-82, материал верха кирза, подошва ПУ,             Каска (ГОСТ Р 12.4.207-99)</t>
  </si>
  <si>
    <t xml:space="preserve"> филиалы АО "КДТС" по ст.Достык призводственный участок ст. Алтынколь</t>
  </si>
  <si>
    <t xml:space="preserve">стропы  СТП -5,0  L=6000,                                                                                           </t>
  </si>
  <si>
    <t xml:space="preserve">штука                    </t>
  </si>
  <si>
    <t>стропы 4 СК -32</t>
  </si>
  <si>
    <t>стропы  СТП -3,0  L=6000</t>
  </si>
  <si>
    <t>стропы  СКП 4, L - 7000</t>
  </si>
  <si>
    <t>Канат стальной</t>
  </si>
  <si>
    <t>канат СТ дим. 16,5 мм 162 м*400=64800 для КС3577</t>
  </si>
  <si>
    <t>метр</t>
  </si>
  <si>
    <t xml:space="preserve">стропы  СТП -5,0  L=6000,             ,                                                 </t>
  </si>
  <si>
    <t xml:space="preserve">стропы  СТП -3,0  L=6000    </t>
  </si>
  <si>
    <t xml:space="preserve">электроды                                                     </t>
  </si>
  <si>
    <t xml:space="preserve">штука                  </t>
  </si>
  <si>
    <t>пропан</t>
  </si>
  <si>
    <t>кислород</t>
  </si>
  <si>
    <t>набор ключей</t>
  </si>
  <si>
    <t>набор электрика</t>
  </si>
  <si>
    <t>тормозной шкив</t>
  </si>
  <si>
    <t>тормозная колодка</t>
  </si>
  <si>
    <t>изолента</t>
  </si>
  <si>
    <t xml:space="preserve">набор ключей                                               </t>
  </si>
  <si>
    <t xml:space="preserve">штука                   </t>
  </si>
  <si>
    <t>набор заклепок</t>
  </si>
  <si>
    <t>комплект</t>
  </si>
  <si>
    <t>Приобретение весов электронных грузоподъемностью более 3-х тонн на СВХ</t>
  </si>
  <si>
    <t>Класс точности весов по ГОСТ 29329 - средний (III), Класс точности датчиков по ГОСТ 30129 - не ниже С2, Диапазон компенсации массы тары (без уменьшения НПВ), % от НПВ- 0 – 10, Диапазон выборки массы тары, % от НПВ - 0 – 100, напряжение, В - 187… 242, частота, Гц- 49… 51, Потребляемая мощность, не более, ВА - 20</t>
  </si>
  <si>
    <t>Закуп работ по ремонту и замене транформаторов тока и вводных автоматов на трёх трансформаторных подстанций</t>
  </si>
  <si>
    <t>ремонт и замена транформаторов тока и вводных автоматов на трёх трансформаторных подстанций</t>
  </si>
  <si>
    <t xml:space="preserve"> Закуп работ по ремонту погрузчиков ТOYOTA и KALMAR</t>
  </si>
  <si>
    <t>ремонт погрузчиков ТOYOTA и KALMAR</t>
  </si>
  <si>
    <t xml:space="preserve"> с даты подписания договора до 28 февраля 2014 года</t>
  </si>
  <si>
    <t>с даты подписания договора до 31 января 2014 года</t>
  </si>
  <si>
    <t>Закуп услуг по предоставлению подъездного пути для проезда подвижного состава</t>
  </si>
  <si>
    <t>предоставление подъездного пути для проезда подвижного состава</t>
  </si>
  <si>
    <t>Закуп услуг по тех. обслуживанию оргтехники и принтеров</t>
  </si>
  <si>
    <t xml:space="preserve"> тех. обслуживание оргтехники и принтеров</t>
  </si>
  <si>
    <t>Ремонт  погрузчиков</t>
  </si>
  <si>
    <t>Моющие средства</t>
  </si>
  <si>
    <t xml:space="preserve">Питьевая вода </t>
  </si>
  <si>
    <t>Молоко</t>
  </si>
  <si>
    <t>Контактор 6022; 2з+2р 160А</t>
  </si>
  <si>
    <t>ГОСТ Р50030.4.1-2002 для собственного исползования</t>
  </si>
  <si>
    <t>УСК 1-5000 л 5000</t>
  </si>
  <si>
    <t xml:space="preserve">ГОСТ  25573 для собственного использования </t>
  </si>
  <si>
    <t>Магнитный пускатель ПМЛ 15010-4б</t>
  </si>
  <si>
    <t xml:space="preserve">ГОСТ 15150 -69 для собственного использования </t>
  </si>
  <si>
    <t xml:space="preserve">Прут для ходовых колес </t>
  </si>
  <si>
    <t>ГОСТ 19903-74 для собственного пользования</t>
  </si>
  <si>
    <t>Приобретение гидротолкателя 80 тэ-50</t>
  </si>
  <si>
    <t xml:space="preserve">ГОСТ 17411-91  для собственного использования </t>
  </si>
  <si>
    <t>Услуги очистки снега</t>
  </si>
  <si>
    <t>Услуги обслуживания компьютеров и програмного обеспечения</t>
  </si>
  <si>
    <t>Услуги заправки картриджа и обслуживание орг. техники</t>
  </si>
  <si>
    <t>Услуги рекламы</t>
  </si>
  <si>
    <t>Реклама</t>
  </si>
  <si>
    <t>Услуги по видеонаблюдению</t>
  </si>
  <si>
    <t>с даты паодписания договора до 1 апреля 2014 года</t>
  </si>
  <si>
    <t>условная единица</t>
  </si>
  <si>
    <t>г.Усть-Каменогорск, ул. Делегатская, 36 (г.Усть-Каменогорск, г.Семей)</t>
  </si>
  <si>
    <t xml:space="preserve"> филиалы АО "КДТС" (Атырау, Павлодар, Астана, Костанай, Усть-Каменогорск, Алматы, Шымкент, Достык, Уральск)</t>
  </si>
  <si>
    <t xml:space="preserve"> филиалы АО "КДТС" (Атырау, Актау, Павлодар, Астана, Кызылорда, Усть-Каменогорск, Семей, Кокшетау, Актобе, Уральск)</t>
  </si>
  <si>
    <t xml:space="preserve"> филиалы АО "КДТС" (Караганда, Костанай, Актобе)</t>
  </si>
  <si>
    <t>филиалы АО "КДТС" (Астана, Костанай, Актобе, Уральск, Алматы)</t>
  </si>
  <si>
    <t>филиалы АО "КДТС" (Караганда, Атырау, Актау, Павлодар, Астана, Костанай, Кызылорда, Усть-Каменогорск, Семей, Актобе, Алматы, Кокшетау, Астана (далаком), Шымкент, Достык, Уральск, Алтынколь)</t>
  </si>
  <si>
    <t xml:space="preserve"> филиалы АО "КДТС" (Караганда, Атырау, Актау, Павлодар, Астана, Костанай, Семей, Усть-Каменогорск, Алматы, Актобе, Шымкент, Достык, Уральск, Алтынколь)</t>
  </si>
  <si>
    <t>фильтр возд, фильтр масляный, шланги гидравлики, фильтр топливный, генератор, стекло лобовое кабины, Цилиндр акселатора (газа) кабины машиниста, Дверь кабины машиниста, форсунка, стартер, главный гидронасос, турбокомпрессор, пневмогидроусилитель, лопость вентелятора, ТНВД, фильтр воздухоосушителя, топливный фильтр грубой очистки, Шланг главного насоса,токосемъник в сборе со штоком, компрессор, помпа, корзина сцепления, полиспасты (блочки)</t>
  </si>
  <si>
    <t>Исп.Капашева А.-Кснаб</t>
  </si>
  <si>
    <t>тел.:550-475, вн.9196</t>
  </si>
  <si>
    <t>Приобретение проездных билетов на городской общественный транспорт в городе Астана на период с 1 января 2014 года по декабрь 2014 года каждый месяц</t>
  </si>
  <si>
    <t>все филиалы АО "КДТС"</t>
  </si>
  <si>
    <t xml:space="preserve"> филиалы АО "КДТС" по ст.Достык и призводственный участок ст. Алтынколь</t>
  </si>
  <si>
    <t>Услуги по охране недвижимых объектов</t>
  </si>
  <si>
    <t>Масла и смазочные материалы</t>
  </si>
  <si>
    <t>Моторное масло, трансмиссионное масло, охлаждающая жидкость антифириз, пластинчатые смазки, гидравлическое масло, торомозная система</t>
  </si>
  <si>
    <t>Работы по построению структурированной кабельной сети</t>
  </si>
  <si>
    <t xml:space="preserve"> соотвествии с технической спецификацией</t>
  </si>
  <si>
    <t>г.Алматы, ул.Северное кольцо, 57; 2) г.Алматы, ул.Полежаева, 32; 3) п.Достык, ППК7; 4) Г. Актобе, 41 разъезд, товарный двор; 5) г.Астана, ул.Жубанова, 63-а; 6) г.Алтынколь, здание Ж/Д вокзала</t>
  </si>
  <si>
    <t>с 1 февраля по 30 апреля 2014 года</t>
  </si>
  <si>
    <t>Услуги по страхованию от болезней</t>
  </si>
  <si>
    <t>Медицинское страхование работников и членов их семей на случай болезни</t>
  </si>
  <si>
    <t>с 1 марта 2014 года по 1 марта 2015 года</t>
  </si>
  <si>
    <t>услуги метеорологии</t>
  </si>
  <si>
    <t>казгидромет, услуги метеорологии</t>
  </si>
  <si>
    <t>природоохранные, отчеты по опасным отходам</t>
  </si>
  <si>
    <t>отчеты по опасным отходам, изготовление паспорта парниковых газов</t>
  </si>
  <si>
    <t xml:space="preserve">очистка территории, снегоочистка </t>
  </si>
  <si>
    <t>Лампа ДРЛ</t>
  </si>
  <si>
    <t>Лампа ДРЛ-250 (6)-4</t>
  </si>
  <si>
    <t>трос</t>
  </si>
  <si>
    <t>трос диаметром 18,5 (кран КК-20/25)</t>
  </si>
  <si>
    <t>с даты подписания договора до 231декабря  2014 года</t>
  </si>
  <si>
    <t>Интструменты, инвентарь</t>
  </si>
  <si>
    <t>болторезы, лопаты снеговые, совковые, веники, ломы, швабра, щетка с совком для уборки помещений, ведра, прочий инструмент</t>
  </si>
  <si>
    <t>Материалы для оргтехники</t>
  </si>
  <si>
    <t>Картриджи, тонеры, клавиатура, мышь</t>
  </si>
  <si>
    <t xml:space="preserve">Услуги по переплету документов </t>
  </si>
  <si>
    <t>Аренда автотранспорта</t>
  </si>
  <si>
    <t>Аренда автотранспорта для служебных нужд</t>
  </si>
  <si>
    <t>Расходные материалы по облсуживанию оргтехники</t>
  </si>
  <si>
    <t>Аренда автобусов</t>
  </si>
  <si>
    <t>Услуги типографии</t>
  </si>
  <si>
    <t>Услуги погрузчика для очистки территории от снега</t>
  </si>
  <si>
    <t>Номинальная грузоподъемность 5 тонн, Обьем ковша - 3000 куб/м, Номинальная мощность двигателя- 220 л.с., Высота выгрузки - 3090 мм, база шасси -колесная, тип двигателя дизельный</t>
  </si>
  <si>
    <t>Номинальная грузоподъемность 2 тонн, Номинальная мощность двигателя- 44 кВт, Наибольшая высота подъема груза3300 мм, база шасси -колесная, тип двигателя дизельный</t>
  </si>
  <si>
    <t>Тип двигателя - дизельный, грузоподьемность не более - 2 тонн, высота подьема не более - 3000 мм, база шасси - колесная, СТАНДАРТНОЕ ОБОРУДОВАНИЕ:
- система плавного опускания груза;
- генератор на ИС;
- воздушный фильтр циклонного типа с патрубком забора воздуха;
- сенсорная система присутствия водителя;
- рулевое управление с гидроусилителем;
- защитная крыша;
- рулевая колонка с регулируемым углом наклона;
- изоляция капота двигателя;
- фары;
- счетчик моточасов</t>
  </si>
  <si>
    <t>Номинальная грузоподъемность 2 тонн, Номинальная мощность (кВт)/ об.мин- 40/2400, Наибольшая высота подъема вил - 3000 мм, база шасси -колесная, тип двигателя дизельный</t>
  </si>
  <si>
    <t>Мощность 3-5 кВт, тип переносной, диаметр пилы - 320 мм, тип питания электрический -380 В, 2-х ременная система передач, обороты - до 3000 в мин.</t>
  </si>
  <si>
    <t>Тип двигателя - дизельный, грузоподьемность не более - 2 тонн, высота подьема не более - 3000 мм, грузохватный орган - вилы, мощногсть  -  44 кВТ, 4 целиндра, база шасси - колесная</t>
  </si>
  <si>
    <t>грузоподьемность - 3000 кг, обьем ковша - 1800 куб.м, высота выгрузки -  2892 мм., дальность выгрузки - 1104 мм., Номинальная мощность - 125 л.с.</t>
  </si>
  <si>
    <t>тип, марка  - Вилочный автопогрузчик TOYOTA 62-8FD20FV3000
грузоподъемность - 2000 кг
мачта с высотой подъема - 3000 мм, вагонный вариант (для выгрузки товара из вагона)
E62 - каретка смещения
дизельный двигатель 1DZII
цельнолитые  шины
гарантия не менее 12 месяцев или 2000 моточасов</t>
  </si>
  <si>
    <t>Техническое сопровождение и обновление программынх продуктов</t>
  </si>
  <si>
    <t>Техническое сопровождение и обновление программных продуктов фирмы ТОО "СТМ" (Rail-Tarif,Rail-Инфо, Rail-Доп сборы)</t>
  </si>
  <si>
    <t>Техническое сопровождение и обновление программных продуктов фирмы ТОО "СТМ" (Rail-Тариф сервер)</t>
  </si>
  <si>
    <t>2800*150*150, 2800*150*100, 2800*100*100,2800*200*200.</t>
  </si>
  <si>
    <t>диаметр 6 мм</t>
  </si>
  <si>
    <t>размер 100мм,120мм,150мм.200мм50мм</t>
  </si>
  <si>
    <t>размер 100мм,120мм,150мм.200мм</t>
  </si>
  <si>
    <t xml:space="preserve"> - аренда легкового автотранспорта</t>
  </si>
  <si>
    <t>Катанка</t>
  </si>
  <si>
    <t>катанка диам. 6,5 мм, для увязки контейнеров и крепления грузов ГОСТ 13843-78</t>
  </si>
  <si>
    <t>бухта</t>
  </si>
  <si>
    <t>канцелярские принадлежности для ежедневной работы филиала</t>
  </si>
  <si>
    <t>Приобретение крупнотоннажного погрузчика ричстакера в лизинг</t>
  </si>
  <si>
    <t xml:space="preserve">Приобретение крупнотоннажных погрузчиков ричстакеров в лизинг </t>
  </si>
  <si>
    <t>Приобретение фронтального погрузчика грузоподъмностью 5 тонн в лизинг</t>
  </si>
  <si>
    <t>Приобретение малотоннажных вилочных погрузчиков в лизинг</t>
  </si>
  <si>
    <t>Приобретение малотоннажных погрузчиков с боковым захватом для тюков с боковым смещением в лизинг</t>
  </si>
  <si>
    <t>Приобретение малотоннажных вилочных погрузчиков г/п 1,75 тонн в лизинг</t>
  </si>
  <si>
    <t>Приобретение фронтального погрузчика грузоподъмностью 3 тонн в лизинг</t>
  </si>
  <si>
    <t>Приобретение фронтального погрузчика XCMG LW300F (3тонны) в лизинг</t>
  </si>
  <si>
    <t>Приобретение вилочных погрузчиков грузоподъемностью 3 тонны в лизинг</t>
  </si>
  <si>
    <t>декабрь 2013 года, январь, февраль 2014 года</t>
  </si>
  <si>
    <t>Услуги по техническому сопровождению карты мониторинга местного содержания</t>
  </si>
  <si>
    <t>Услуги, оказываемые в соответствии с Концепцией развития Карты мониторинга местного содержания</t>
  </si>
  <si>
    <t>Услуги по разработке Карты мониторинга местного содержания</t>
  </si>
  <si>
    <t>Услуги по актуализации Единого номенклатурного справочника товаров, работ и услуг</t>
  </si>
  <si>
    <t>Предоставление доступа к Информационной сиситеме электронных закупок (ИСЭЗ)</t>
  </si>
  <si>
    <r>
      <t xml:space="preserve">услуг </t>
    </r>
    <r>
      <rPr>
        <sz val="12"/>
        <color rgb="FF000000"/>
        <rFont val="Times New Roman"/>
        <family val="1"/>
        <charset val="204"/>
      </rPr>
      <t xml:space="preserve"> </t>
    </r>
    <r>
      <rPr>
        <sz val="12"/>
        <color theme="1"/>
        <rFont val="Times New Roman"/>
        <family val="1"/>
        <charset val="204"/>
      </rPr>
      <t>по публикации объявлений в газете «Тендер КЗ»</t>
    </r>
  </si>
  <si>
    <t>Колесная формула 4 х 4, кол-во мест 5, тип двигателя - бензин</t>
  </si>
  <si>
    <t>филиалы АО "КДТС" (Караганда, Атырау, Актау, Павлодар, Астана, Костанай,Кызылорда, Кокшетау, Актобе, Шымкент, Усть-Каменогорск, Достык, Алтынколь, Алматы, Уральск)</t>
  </si>
  <si>
    <t>зимнее, плотность при 20 °С не более 840 кг/м3, температура застывания не выше -35°С - - 45°С                                     летнее, плотность при 20 °С не более 860 кг/м3, температура застывания не выше -10°С</t>
  </si>
  <si>
    <t>Аренда административных зданий</t>
  </si>
  <si>
    <t>Аренда автобуса</t>
  </si>
  <si>
    <t xml:space="preserve"> филиал АО "КДТС" по ст.Достык Алматинская область, Алакольский район, ст. Достык, ул. Привокзальная, 7</t>
  </si>
  <si>
    <t xml:space="preserve">Западно-Казахстанский региональный филиал АО "КДТС" г. Актобе, 41 разъезд, 
товарный двор
</t>
  </si>
  <si>
    <t xml:space="preserve"> филиал АО "КДТС" по Карагандинской области г. Караганда, 
ул. Складская, д. 13
</t>
  </si>
  <si>
    <t xml:space="preserve">Атырауский региональный филиал АО "КДТС"г. Атырау, ст. Атырау,
 грузовой двор 
</t>
  </si>
  <si>
    <t xml:space="preserve"> филиал АО "КДТС" по г.Астана и Акмолинской области г. Астана, район Алматы, 
ул. Жубанова, 63-а
</t>
  </si>
  <si>
    <t xml:space="preserve">филиал АО "КДТС" по г.Астана и Акмолинской области г.Кокшетау г. Кокшетау,
ул. Вернадского д.1, кв. 34
</t>
  </si>
  <si>
    <t xml:space="preserve">филиал АО "КДТС" по Костанайской области г. Костанай, 
ул. Перронная, 9
</t>
  </si>
  <si>
    <t xml:space="preserve"> ЦА АО "КДТС" г.Астана, ул.Достык, 18</t>
  </si>
  <si>
    <t xml:space="preserve"> филиал АО "КДТС" по Костанйской области г. Костанай, 
ул. Перронная, 9
</t>
  </si>
  <si>
    <t xml:space="preserve">филиал АО "КДТС" по ст. Кзылорда , г. Кызылорда, 
ул. Жанадилова, б/н
</t>
  </si>
  <si>
    <t xml:space="preserve">филиал АО "КДТС" по ст.Кызылорда , г. Кызылорда, 
ул. Жанадилова, б/н
</t>
  </si>
  <si>
    <t xml:space="preserve"> филиал АО "КДТС" по г.Кызылорда , г. Кызылорда, 
ул. Жанадилова, б/н
</t>
  </si>
  <si>
    <t>г.Астана</t>
  </si>
  <si>
    <t>Территория Республики Казахстан</t>
  </si>
  <si>
    <t>Филиал АО "КДТС" по Восточно-Казахстанской области г.Усть-Каменогорск, ул. Делегатская, 36</t>
  </si>
  <si>
    <t xml:space="preserve">Южно-Казахстанский региональный филиал АО "КДТС" г. Шымкент, 
ул. Муминова, б/н
</t>
  </si>
  <si>
    <t>филиал АО "КДТС" -"Уральский грузовой участок"Западно-Казахстанская обл., п. Желаево, Промзона, 20</t>
  </si>
  <si>
    <t>Пиломатериал обрезной 2700*100*50,2700*150*50. ГОСТ 8486-86, ГОСТ 2695-83 не ниже третьего сорта</t>
  </si>
  <si>
    <t>Пиломатериал обрезной 2800*150*50.ГОСТ 8486-86, ГОСТ 2695-83 не ниже третьего сорта</t>
  </si>
  <si>
    <r>
      <t>Привод  - передний, способность к преодолению подъема, (%) - от 15- до 25, Скорость движения, (км/ч) – 20, вид топлива - дизельное топливо, аккумулятор, В, Ач - 12, 40, рабочий объем двигателя, см</t>
    </r>
    <r>
      <rPr>
        <vertAlign val="superscript"/>
        <sz val="12"/>
        <color theme="1"/>
        <rFont val="Times New Roman"/>
        <family val="1"/>
        <charset val="204"/>
      </rPr>
      <t xml:space="preserve">3  </t>
    </r>
    <r>
      <rPr>
        <sz val="12"/>
        <color theme="1"/>
        <rFont val="Times New Roman"/>
        <family val="1"/>
        <charset val="204"/>
      </rPr>
      <t>- от 854 – до 1123, рабочий объем двигателя, см</t>
    </r>
    <r>
      <rPr>
        <vertAlign val="superscript"/>
        <sz val="12"/>
        <color theme="1"/>
        <rFont val="Times New Roman"/>
        <family val="1"/>
        <charset val="204"/>
      </rPr>
      <t xml:space="preserve">3  </t>
    </r>
    <r>
      <rPr>
        <sz val="12"/>
        <color theme="1"/>
        <rFont val="Times New Roman"/>
        <family val="1"/>
        <charset val="204"/>
      </rPr>
      <t>- от 854 – до 1123, объем топливного бака, л – 37, покрышки (ширина/высота/радиус) - 195/55 R15, мощность привода, (кВ/PS) - 19,2/26,  макс. производительность по площади, (м²/ч) – 14000, рабочая ширина, (мм) – 1400, переменная рабочая ширина, (мм) - 1100-1400, вместимость бункера, (л) – 500, масса заполнения контейнера, (кг) – 400, вместимость бака для воды, (л) – 165, радиус поворота, (м) - 0,75, гидравлическая разгрузка, м - 1,45, продолжительность работы от 1 заправки, (ч) – 13,  экологический стандарт - Euro 3, вес, (кг) – 1110, габариты, (длина х ширина х высота) (мм) - 2960x1090x1970, температурный диапазон работы - от -20</t>
    </r>
    <r>
      <rPr>
        <vertAlign val="superscript"/>
        <sz val="12"/>
        <color theme="1"/>
        <rFont val="Times New Roman"/>
        <family val="1"/>
        <charset val="204"/>
      </rPr>
      <t xml:space="preserve">0 </t>
    </r>
    <r>
      <rPr>
        <sz val="12"/>
        <color theme="1"/>
        <rFont val="Times New Roman"/>
        <family val="1"/>
        <charset val="204"/>
      </rPr>
      <t>С  до + 40</t>
    </r>
    <r>
      <rPr>
        <vertAlign val="superscript"/>
        <sz val="12"/>
        <color theme="1"/>
        <rFont val="Times New Roman"/>
        <family val="1"/>
        <charset val="204"/>
      </rPr>
      <t xml:space="preserve"> 0 </t>
    </r>
    <r>
      <rPr>
        <sz val="12"/>
        <color theme="1"/>
        <rFont val="Times New Roman"/>
        <family val="1"/>
        <charset val="204"/>
      </rPr>
      <t>С</t>
    </r>
  </si>
  <si>
    <t>Автоматизация бизнес- процессов в ИРС «Перевозки»</t>
  </si>
  <si>
    <t>Развитие систем управления парком подвижного состава и продажами услуг</t>
  </si>
  <si>
    <t>Система Хранения Данных (СХД)</t>
  </si>
  <si>
    <t>Комплексное программно-аппаратное решение по организации надёжного хранения информационных ресурсов и предоставления гарантированного доступа к ним.</t>
  </si>
  <si>
    <t>Обслуживание видеонаблюдение</t>
  </si>
  <si>
    <t xml:space="preserve"> - СЭС и дератизация</t>
  </si>
  <si>
    <t>профилактика инфекционных заболеваний и уничтожение возбудителей бактериальной и вирусной этиологии</t>
  </si>
  <si>
    <t>тех.обслуживание трансформаторов</t>
  </si>
  <si>
    <t>Бумага,Регистр,Ручка,Карандаш,Ластик,Стикеры,Линейка,ножницы,нож концелярский,тетрадь общая,Ежедневник,календарь,Клей бумажный, точилка,дыракол,скоба для степлера,щтрих,папка, Скоросшиватель,скотч,калькулятор,органайзер,флешка,файлы ,антистеплер,папка,мастика,лента для кассовых аппаратов</t>
  </si>
  <si>
    <t>филиалы АО "КДТС" (Караганда, Атырау, Актау, Павлодар, Астана, Костанай, Кызылорда, Усть-Каменогорск, Семей, Актобе, Алматы, Кокшетау, Шымкент, Достык, Уральск, Алтынколь)</t>
  </si>
  <si>
    <t>Запчасти на козловой кран КК-30, КК-50.</t>
  </si>
  <si>
    <t xml:space="preserve">магнитные пускатели,стальной канат,командоконтроллеры, контакторы,концевые выключатели,гидротолкатели ТЭ-15,гидротолкатели ТЭ-30,анемометр,электродвигатель   22 кв.  </t>
  </si>
  <si>
    <t>Приобритение картриджей</t>
  </si>
  <si>
    <t>г.Астана, ул.Достык, 19</t>
  </si>
  <si>
    <t xml:space="preserve"> филиалы АО "КДТС" (Астана)</t>
  </si>
  <si>
    <t>от "_06__" декабря  2013 года</t>
  </si>
  <si>
    <t>№ 440-П-1</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</si>
</sst>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р_._-;\-* #,##0.00_р_._-;_-* &quot;-&quot;??_р_._-;_-@_-"/>
    <numFmt numFmtId="164" formatCode="#,##0.0"/>
    <numFmt numFmtId="165" formatCode="[$-419]General"/>
    <numFmt numFmtId="166" formatCode="[$-419]#,##0.00"/>
    <numFmt numFmtId="167" formatCode="[$-419]0.00"/>
    <numFmt numFmtId="168" formatCode="#,##0.000"/>
    <numFmt numFmtId="169" formatCode="#,##0.0000"/>
    <numFmt numFmtId="170" formatCode="0.000"/>
    <numFmt numFmtId="171" formatCode="_-* #,##0_р_._-;\-* #,##0_р_._-;_-* &quot;-&quot;??_р_._-;_-@_-"/>
    <numFmt numFmtId="172" formatCode="0.0"/>
  </numFmts>
  <fonts count="2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0"/>
      <name val="Arial Cyr"/>
      <charset val="204"/>
    </font>
    <font>
      <sz val="10"/>
      <color indexed="8"/>
      <name val="Arial"/>
      <family val="2"/>
      <charset val="204"/>
    </font>
    <font>
      <sz val="10"/>
      <name val="Arial"/>
      <family val="2"/>
      <charset val="204"/>
    </font>
    <font>
      <sz val="11"/>
      <color theme="1"/>
      <name val="Calibri"/>
      <family val="2"/>
      <scheme val="minor"/>
    </font>
    <font>
      <sz val="11"/>
      <color rgb="FF000000"/>
      <name val="Calibri"/>
      <family val="2"/>
      <charset val="204"/>
    </font>
    <font>
      <sz val="10"/>
      <name val="Arial Cyr"/>
      <family val="2"/>
      <charset val="204"/>
    </font>
    <font>
      <b/>
      <sz val="10"/>
      <color indexed="81"/>
      <name val="Tahoma"/>
      <family val="2"/>
      <charset val="204"/>
    </font>
    <font>
      <sz val="10"/>
      <color indexed="81"/>
      <name val="Tahoma"/>
      <family val="2"/>
      <charset val="204"/>
    </font>
    <font>
      <sz val="12"/>
      <name val="Times New Roman"/>
      <family val="1"/>
      <charset val="204"/>
    </font>
    <font>
      <sz val="12"/>
      <color theme="1"/>
      <name val="Times New Roman"/>
      <family val="1"/>
      <charset val="204"/>
    </font>
    <font>
      <b/>
      <sz val="12"/>
      <name val="Times New Roman"/>
      <family val="1"/>
      <charset val="204"/>
    </font>
    <font>
      <b/>
      <sz val="12"/>
      <color indexed="8"/>
      <name val="Times New Roman"/>
      <family val="1"/>
      <charset val="204"/>
    </font>
    <font>
      <b/>
      <i/>
      <sz val="12"/>
      <color indexed="8"/>
      <name val="Times New Roman"/>
      <family val="1"/>
      <charset val="204"/>
    </font>
    <font>
      <sz val="12"/>
      <color rgb="FF000000"/>
      <name val="Times New Roman"/>
      <family val="1"/>
      <charset val="204"/>
    </font>
    <font>
      <sz val="12"/>
      <color indexed="8"/>
      <name val="Times New Roman"/>
      <family val="1"/>
      <charset val="204"/>
    </font>
    <font>
      <b/>
      <sz val="12"/>
      <color theme="1"/>
      <name val="Times New Roman"/>
      <family val="1"/>
      <charset val="204"/>
    </font>
    <font>
      <b/>
      <sz val="12"/>
      <color rgb="FF000000"/>
      <name val="Times New Roman"/>
      <family val="1"/>
      <charset val="204"/>
    </font>
    <font>
      <vertAlign val="superscript"/>
      <sz val="12"/>
      <color theme="1"/>
      <name val="Times New Roman"/>
      <family val="1"/>
      <charset val="204"/>
    </font>
    <font>
      <b/>
      <sz val="8"/>
      <name val="Arial Cyr"/>
      <charset val="204"/>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0" fontId="3" fillId="0" borderId="0"/>
    <xf numFmtId="0" fontId="2" fillId="0" borderId="0"/>
    <xf numFmtId="0" fontId="4" fillId="0" borderId="0"/>
    <xf numFmtId="0" fontId="1" fillId="0" borderId="0"/>
    <xf numFmtId="0" fontId="5" fillId="0" borderId="0"/>
    <xf numFmtId="43" fontId="6" fillId="0" borderId="0" applyFont="0" applyFill="0" applyBorder="0" applyAlignment="0" applyProtection="0"/>
    <xf numFmtId="0" fontId="3" fillId="0" borderId="0"/>
    <xf numFmtId="165" fontId="7" fillId="0" borderId="0" applyBorder="0" applyProtection="0"/>
    <xf numFmtId="0" fontId="8" fillId="0" borderId="0"/>
    <xf numFmtId="0" fontId="3" fillId="0" borderId="0"/>
    <xf numFmtId="0" fontId="5" fillId="0" borderId="0"/>
  </cellStyleXfs>
  <cellXfs count="102">
    <xf numFmtId="0" fontId="0" fillId="0" borderId="0" xfId="0"/>
    <xf numFmtId="0" fontId="12" fillId="0" borderId="0" xfId="0" applyFont="1" applyFill="1" applyAlignment="1">
      <alignment horizontal="center" vertical="center" wrapText="1"/>
    </xf>
    <xf numFmtId="3" fontId="12" fillId="0" borderId="0" xfId="0" applyNumberFormat="1" applyFont="1" applyFill="1" applyAlignment="1">
      <alignment horizontal="center" vertical="center" wrapText="1"/>
    </xf>
    <xf numFmtId="0" fontId="12" fillId="0" borderId="0" xfId="1" applyFont="1" applyFill="1" applyAlignment="1">
      <alignment horizontal="center" vertical="center" wrapText="1"/>
    </xf>
    <xf numFmtId="4" fontId="12" fillId="0" borderId="0" xfId="1" applyNumberFormat="1" applyFont="1" applyFill="1" applyAlignment="1">
      <alignment horizontal="center" vertical="center" wrapText="1"/>
    </xf>
    <xf numFmtId="0" fontId="14" fillId="0" borderId="1" xfId="1" applyFont="1" applyFill="1" applyBorder="1" applyAlignment="1">
      <alignment horizontal="center" vertical="center" wrapText="1"/>
    </xf>
    <xf numFmtId="0" fontId="15" fillId="0" borderId="1" xfId="1" applyFont="1" applyFill="1" applyBorder="1" applyAlignment="1">
      <alignment horizontal="center" vertical="center" wrapText="1"/>
    </xf>
    <xf numFmtId="3" fontId="15" fillId="0" borderId="1" xfId="1" applyNumberFormat="1" applyFont="1" applyFill="1" applyBorder="1" applyAlignment="1">
      <alignment horizontal="center" vertical="center" wrapText="1"/>
    </xf>
    <xf numFmtId="0" fontId="13" fillId="0" borderId="1" xfId="1" applyFont="1" applyFill="1" applyBorder="1" applyAlignment="1">
      <alignment horizontal="center" vertical="center" wrapText="1"/>
    </xf>
    <xf numFmtId="3" fontId="13" fillId="0" borderId="1" xfId="1" applyNumberFormat="1" applyFont="1" applyFill="1" applyBorder="1" applyAlignment="1">
      <alignment horizontal="center" vertical="center" wrapText="1"/>
    </xf>
    <xf numFmtId="4" fontId="13" fillId="0" borderId="1" xfId="1" applyNumberFormat="1" applyFont="1" applyFill="1" applyBorder="1" applyAlignment="1">
      <alignment horizontal="center" vertical="center" wrapText="1"/>
    </xf>
    <xf numFmtId="0" fontId="11" fillId="0" borderId="1" xfId="1" applyFont="1" applyFill="1" applyBorder="1" applyAlignment="1">
      <alignment horizontal="center" vertical="center" wrapText="1"/>
    </xf>
    <xf numFmtId="0" fontId="12" fillId="0" borderId="1" xfId="2" applyFont="1" applyFill="1" applyBorder="1" applyAlignment="1">
      <alignment horizontal="center" vertical="center" wrapText="1"/>
    </xf>
    <xf numFmtId="0" fontId="12"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4" fontId="12" fillId="0" borderId="1" xfId="0" applyNumberFormat="1" applyFont="1" applyFill="1" applyBorder="1" applyAlignment="1">
      <alignment horizontal="center" vertical="center" wrapText="1"/>
    </xf>
    <xf numFmtId="4" fontId="11" fillId="0" borderId="1" xfId="1" applyNumberFormat="1" applyFont="1" applyFill="1" applyBorder="1" applyAlignment="1">
      <alignment horizontal="center" vertical="center" wrapText="1"/>
    </xf>
    <xf numFmtId="0" fontId="12" fillId="0" borderId="0" xfId="0" applyFont="1" applyFill="1" applyBorder="1" applyAlignment="1">
      <alignment horizontal="center" vertical="center" wrapText="1"/>
    </xf>
    <xf numFmtId="3" fontId="12" fillId="0" borderId="1" xfId="0" applyNumberFormat="1" applyFont="1" applyFill="1" applyBorder="1" applyAlignment="1">
      <alignment horizontal="center" vertical="center" wrapText="1"/>
    </xf>
    <xf numFmtId="165" fontId="16" fillId="0" borderId="1" xfId="8" applyFont="1" applyFill="1" applyBorder="1" applyAlignment="1" applyProtection="1">
      <alignment horizontal="center" vertical="center" wrapText="1"/>
    </xf>
    <xf numFmtId="0" fontId="16" fillId="0" borderId="1" xfId="1" applyFont="1" applyFill="1" applyBorder="1" applyAlignment="1" applyProtection="1">
      <alignment horizontal="center" vertical="center" wrapText="1"/>
    </xf>
    <xf numFmtId="166" fontId="16" fillId="0" borderId="1" xfId="8" applyNumberFormat="1" applyFont="1" applyFill="1" applyBorder="1" applyAlignment="1" applyProtection="1">
      <alignment horizontal="center" vertical="center" wrapText="1"/>
    </xf>
    <xf numFmtId="166" fontId="16" fillId="0" borderId="1" xfId="1" applyNumberFormat="1" applyFont="1" applyFill="1" applyBorder="1" applyAlignment="1" applyProtection="1">
      <alignment horizontal="center" vertical="center" wrapText="1"/>
    </xf>
    <xf numFmtId="3" fontId="12" fillId="0" borderId="0" xfId="0" applyNumberFormat="1" applyFont="1" applyFill="1" applyBorder="1" applyAlignment="1">
      <alignment horizontal="center" vertical="center" wrapText="1"/>
    </xf>
    <xf numFmtId="49" fontId="11" fillId="0" borderId="1" xfId="0" applyNumberFormat="1" applyFont="1" applyFill="1" applyBorder="1" applyAlignment="1">
      <alignment horizontal="center" vertical="center" wrapText="1"/>
    </xf>
    <xf numFmtId="2" fontId="11" fillId="0" borderId="1" xfId="1" applyNumberFormat="1" applyFont="1" applyFill="1" applyBorder="1" applyAlignment="1">
      <alignment horizontal="center" vertical="center" wrapText="1"/>
    </xf>
    <xf numFmtId="3" fontId="11" fillId="0" borderId="1" xfId="1" applyNumberFormat="1" applyFont="1" applyFill="1" applyBorder="1" applyAlignment="1">
      <alignment horizontal="center" vertical="center" wrapText="1"/>
    </xf>
    <xf numFmtId="168" fontId="11" fillId="0" borderId="1" xfId="1" applyNumberFormat="1" applyFont="1" applyFill="1" applyBorder="1" applyAlignment="1">
      <alignment horizontal="center" vertical="center" wrapText="1"/>
    </xf>
    <xf numFmtId="1" fontId="12" fillId="0" borderId="1" xfId="0" applyNumberFormat="1" applyFont="1" applyFill="1" applyBorder="1" applyAlignment="1">
      <alignment horizontal="center" vertical="center" wrapText="1"/>
    </xf>
    <xf numFmtId="0" fontId="12" fillId="0" borderId="1" xfId="0" applyFont="1" applyFill="1" applyBorder="1" applyAlignment="1" applyProtection="1">
      <alignment horizontal="center" vertical="center" wrapText="1"/>
    </xf>
    <xf numFmtId="49" fontId="16" fillId="0" borderId="1" xfId="8" applyNumberFormat="1" applyFont="1" applyFill="1" applyBorder="1" applyAlignment="1" applyProtection="1">
      <alignment horizontal="center" vertical="center" wrapText="1"/>
    </xf>
    <xf numFmtId="167" fontId="16" fillId="0" borderId="1" xfId="8" applyNumberFormat="1" applyFont="1" applyFill="1" applyBorder="1" applyAlignment="1" applyProtection="1">
      <alignment horizontal="center" vertical="center" wrapText="1"/>
    </xf>
    <xf numFmtId="2" fontId="12" fillId="0" borderId="1" xfId="0" applyNumberFormat="1" applyFont="1" applyFill="1" applyBorder="1" applyAlignment="1">
      <alignment horizontal="center" vertical="center" wrapText="1"/>
    </xf>
    <xf numFmtId="0" fontId="17" fillId="0" borderId="1" xfId="0" applyFont="1" applyFill="1" applyBorder="1" applyAlignment="1" applyProtection="1">
      <alignment horizontal="center" vertical="center" wrapText="1"/>
    </xf>
    <xf numFmtId="4" fontId="12" fillId="0" borderId="1" xfId="1"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168" fontId="12" fillId="0" borderId="1" xfId="0" applyNumberFormat="1" applyFont="1" applyFill="1" applyBorder="1" applyAlignment="1">
      <alignment horizontal="center" vertical="center" wrapText="1"/>
    </xf>
    <xf numFmtId="170" fontId="12" fillId="0" borderId="1" xfId="0" applyNumberFormat="1" applyFont="1" applyFill="1" applyBorder="1" applyAlignment="1">
      <alignment horizontal="center" vertical="center" wrapText="1"/>
    </xf>
    <xf numFmtId="0" fontId="17" fillId="0" borderId="1" xfId="1" applyFont="1" applyFill="1" applyBorder="1" applyAlignment="1" applyProtection="1">
      <alignment horizontal="center" vertical="center" wrapText="1"/>
    </xf>
    <xf numFmtId="3" fontId="12" fillId="0" borderId="1" xfId="1" applyNumberFormat="1" applyFont="1" applyFill="1" applyBorder="1" applyAlignment="1">
      <alignment horizontal="center" vertical="center" wrapText="1"/>
    </xf>
    <xf numFmtId="0" fontId="11" fillId="0" borderId="1" xfId="7" applyFont="1" applyFill="1" applyBorder="1" applyAlignment="1">
      <alignment horizontal="center" vertical="center" wrapText="1"/>
    </xf>
    <xf numFmtId="0" fontId="11" fillId="0" borderId="1" xfId="2" applyFont="1" applyFill="1" applyBorder="1" applyAlignment="1">
      <alignment horizontal="center" vertical="center" wrapText="1"/>
    </xf>
    <xf numFmtId="0" fontId="11" fillId="0" borderId="1" xfId="2" applyFont="1" applyFill="1" applyBorder="1" applyAlignment="1">
      <alignment horizontal="center" vertical="top" wrapText="1"/>
    </xf>
    <xf numFmtId="3" fontId="11" fillId="0" borderId="2" xfId="1" applyNumberFormat="1" applyFont="1" applyFill="1" applyBorder="1" applyAlignment="1">
      <alignment horizontal="center" vertical="center" wrapText="1"/>
    </xf>
    <xf numFmtId="4" fontId="11" fillId="0" borderId="2" xfId="1" applyNumberFormat="1" applyFont="1" applyFill="1" applyBorder="1" applyAlignment="1">
      <alignment horizontal="center" vertical="center" wrapText="1"/>
    </xf>
    <xf numFmtId="3" fontId="11" fillId="0" borderId="3" xfId="1" applyNumberFormat="1" applyFont="1" applyFill="1" applyBorder="1" applyAlignment="1">
      <alignment horizontal="center" vertical="center" wrapText="1"/>
    </xf>
    <xf numFmtId="164" fontId="11" fillId="0" borderId="2" xfId="1" applyNumberFormat="1" applyFont="1" applyFill="1" applyBorder="1" applyAlignment="1">
      <alignment horizontal="center" vertical="center" wrapText="1"/>
    </xf>
    <xf numFmtId="0" fontId="11" fillId="0" borderId="1" xfId="10" applyFont="1" applyFill="1" applyBorder="1" applyAlignment="1">
      <alignment vertical="top" wrapText="1"/>
    </xf>
    <xf numFmtId="0" fontId="12"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4" fontId="11" fillId="0" borderId="1" xfId="0" applyNumberFormat="1" applyFont="1" applyFill="1" applyBorder="1" applyAlignment="1">
      <alignment horizontal="center" vertical="center" wrapText="1"/>
    </xf>
    <xf numFmtId="0" fontId="11" fillId="0" borderId="1" xfId="7" applyFont="1" applyFill="1" applyBorder="1" applyAlignment="1">
      <alignment horizontal="center" vertical="center"/>
    </xf>
    <xf numFmtId="172" fontId="12" fillId="0" borderId="1" xfId="0" applyNumberFormat="1" applyFont="1" applyFill="1" applyBorder="1" applyAlignment="1">
      <alignment horizontal="center" vertical="center" wrapText="1"/>
    </xf>
    <xf numFmtId="164" fontId="12" fillId="0" borderId="1" xfId="0" applyNumberFormat="1" applyFont="1" applyFill="1" applyBorder="1" applyAlignment="1">
      <alignment horizontal="center" vertical="center" wrapText="1"/>
    </xf>
    <xf numFmtId="0" fontId="11" fillId="0" borderId="1" xfId="10" applyFont="1" applyFill="1" applyBorder="1" applyAlignment="1">
      <alignment horizontal="center" vertical="center" wrapText="1"/>
    </xf>
    <xf numFmtId="169" fontId="12" fillId="0" borderId="1" xfId="0" applyNumberFormat="1" applyFont="1" applyFill="1" applyBorder="1" applyAlignment="1">
      <alignment horizontal="center" vertical="center" wrapText="1"/>
    </xf>
    <xf numFmtId="0" fontId="11" fillId="0" borderId="1" xfId="10" applyFont="1" applyFill="1" applyBorder="1" applyAlignment="1">
      <alignment horizontal="center" vertical="center"/>
    </xf>
    <xf numFmtId="0" fontId="12" fillId="0" borderId="1" xfId="0" applyFont="1" applyFill="1" applyBorder="1" applyAlignment="1">
      <alignment horizontal="left" vertical="top" wrapText="1"/>
    </xf>
    <xf numFmtId="0" fontId="12" fillId="0" borderId="0" xfId="0" applyFont="1" applyFill="1" applyAlignment="1">
      <alignment horizontal="justify" vertical="center"/>
    </xf>
    <xf numFmtId="0" fontId="18" fillId="0" borderId="1" xfId="2" applyFont="1" applyFill="1" applyBorder="1" applyAlignment="1">
      <alignment horizontal="center" vertical="center" wrapText="1"/>
    </xf>
    <xf numFmtId="0" fontId="13" fillId="0" borderId="1" xfId="3"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3" fontId="18" fillId="0" borderId="1" xfId="0" applyNumberFormat="1" applyFont="1" applyFill="1" applyBorder="1" applyAlignment="1">
      <alignment horizontal="center" vertical="center" wrapText="1"/>
    </xf>
    <xf numFmtId="4" fontId="18" fillId="0" borderId="1" xfId="0" applyNumberFormat="1"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0" xfId="0" applyFont="1" applyFill="1" applyAlignment="1">
      <alignment horizontal="center" vertical="center" wrapText="1"/>
    </xf>
    <xf numFmtId="4" fontId="12" fillId="0" borderId="1" xfId="6"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4" fontId="12" fillId="0" borderId="0" xfId="0" applyNumberFormat="1" applyFont="1" applyFill="1" applyAlignment="1">
      <alignment horizontal="center" vertical="center" wrapText="1"/>
    </xf>
    <xf numFmtId="0" fontId="11" fillId="0" borderId="1" xfId="3" applyFont="1" applyFill="1" applyBorder="1" applyAlignment="1">
      <alignment horizontal="center" vertical="center" wrapText="1"/>
    </xf>
    <xf numFmtId="0" fontId="17" fillId="0" borderId="1" xfId="3" applyFont="1" applyFill="1" applyBorder="1" applyAlignment="1">
      <alignment horizontal="center" vertical="center" wrapText="1"/>
    </xf>
    <xf numFmtId="2" fontId="17" fillId="0" borderId="1" xfId="3" applyNumberFormat="1" applyFont="1" applyFill="1" applyBorder="1" applyAlignment="1">
      <alignment horizontal="center" vertical="center" wrapText="1"/>
    </xf>
    <xf numFmtId="4" fontId="11" fillId="0" borderId="4" xfId="1" applyNumberFormat="1" applyFont="1" applyFill="1" applyBorder="1" applyAlignment="1">
      <alignment horizontal="center" vertical="center" wrapText="1"/>
    </xf>
    <xf numFmtId="0" fontId="11" fillId="0" borderId="0" xfId="1" applyFont="1" applyFill="1" applyBorder="1" applyAlignment="1">
      <alignment horizontal="center" vertical="center" wrapText="1"/>
    </xf>
    <xf numFmtId="4" fontId="12" fillId="0" borderId="0" xfId="0" applyNumberFormat="1" applyFont="1" applyFill="1" applyBorder="1" applyAlignment="1">
      <alignment horizontal="center" vertical="center" wrapText="1"/>
    </xf>
    <xf numFmtId="4" fontId="11" fillId="0" borderId="0" xfId="1" applyNumberFormat="1" applyFont="1" applyFill="1" applyBorder="1" applyAlignment="1">
      <alignment horizontal="center" vertical="center" wrapText="1"/>
    </xf>
    <xf numFmtId="164" fontId="11" fillId="0" borderId="1" xfId="0" applyNumberFormat="1" applyFont="1" applyFill="1" applyBorder="1" applyAlignment="1">
      <alignment horizontal="center" vertical="center" wrapText="1"/>
    </xf>
    <xf numFmtId="3" fontId="11" fillId="0" borderId="1" xfId="0" applyNumberFormat="1" applyFont="1" applyFill="1" applyBorder="1" applyAlignment="1">
      <alignment horizontal="center" vertical="center" wrapText="1"/>
    </xf>
    <xf numFmtId="171" fontId="11" fillId="0" borderId="1" xfId="6" applyNumberFormat="1" applyFont="1" applyFill="1" applyBorder="1" applyAlignment="1">
      <alignment horizontal="center" vertical="center" wrapText="1"/>
    </xf>
    <xf numFmtId="0" fontId="11" fillId="0" borderId="1" xfId="9" applyFont="1" applyFill="1" applyBorder="1" applyAlignment="1">
      <alignment horizontal="center" vertical="center" wrapText="1"/>
    </xf>
    <xf numFmtId="0" fontId="21" fillId="0" borderId="0" xfId="10" applyFont="1" applyFill="1" applyBorder="1"/>
    <xf numFmtId="0" fontId="12" fillId="0" borderId="1" xfId="1" applyFont="1" applyFill="1" applyBorder="1" applyAlignment="1">
      <alignment horizontal="center" vertical="center" wrapText="1"/>
    </xf>
    <xf numFmtId="1" fontId="12" fillId="0" borderId="1" xfId="1"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11" fillId="0" borderId="1" xfId="0" applyFont="1" applyFill="1" applyBorder="1" applyAlignment="1">
      <alignment vertical="top" wrapText="1"/>
    </xf>
    <xf numFmtId="0" fontId="12" fillId="0" borderId="1" xfId="0" applyFont="1" applyFill="1" applyBorder="1" applyAlignment="1">
      <alignment horizontal="center" vertical="top" wrapText="1"/>
    </xf>
    <xf numFmtId="4" fontId="11" fillId="0" borderId="1" xfId="11" applyNumberFormat="1" applyFont="1" applyFill="1" applyBorder="1" applyAlignment="1">
      <alignment horizontal="center" vertical="center" wrapText="1"/>
    </xf>
    <xf numFmtId="3" fontId="18" fillId="0" borderId="0" xfId="0" applyNumberFormat="1" applyFont="1" applyFill="1" applyAlignment="1">
      <alignment horizontal="center" vertical="center" wrapText="1"/>
    </xf>
    <xf numFmtId="4" fontId="18" fillId="0" borderId="0" xfId="0" applyNumberFormat="1" applyFont="1" applyFill="1" applyAlignment="1">
      <alignment horizontal="center" vertical="center" wrapText="1"/>
    </xf>
    <xf numFmtId="4" fontId="18" fillId="0" borderId="0" xfId="0" applyNumberFormat="1" applyFont="1" applyFill="1" applyAlignment="1">
      <alignment horizontal="right" vertical="center" wrapText="1"/>
    </xf>
    <xf numFmtId="0" fontId="12" fillId="0" borderId="0" xfId="1" applyFont="1" applyFill="1" applyAlignment="1">
      <alignment horizontal="left" vertical="center" wrapText="1"/>
    </xf>
    <xf numFmtId="0" fontId="13" fillId="0" borderId="0" xfId="1" applyFont="1" applyFill="1" applyBorder="1" applyAlignment="1">
      <alignment horizontal="center" vertical="center" wrapText="1"/>
    </xf>
    <xf numFmtId="0" fontId="12" fillId="0" borderId="0" xfId="1" applyFont="1" applyFill="1" applyAlignment="1">
      <alignment horizontal="left" vertical="center" wrapText="1"/>
    </xf>
    <xf numFmtId="4" fontId="12" fillId="0" borderId="0" xfId="1" applyNumberFormat="1" applyFont="1" applyFill="1" applyAlignment="1">
      <alignment horizontal="left" vertical="center" wrapText="1"/>
    </xf>
    <xf numFmtId="0" fontId="12" fillId="0" borderId="0" xfId="0" applyFont="1" applyFill="1" applyAlignment="1">
      <alignment horizontal="center" vertical="center" wrapText="1"/>
    </xf>
    <xf numFmtId="0" fontId="14" fillId="0" borderId="1" xfId="1" applyFont="1" applyFill="1" applyBorder="1" applyAlignment="1">
      <alignment horizontal="center" vertical="center" wrapText="1"/>
    </xf>
    <xf numFmtId="3" fontId="14" fillId="0" borderId="1" xfId="1" applyNumberFormat="1" applyFont="1" applyFill="1" applyBorder="1" applyAlignment="1">
      <alignment horizontal="center" vertical="center" wrapText="1"/>
    </xf>
    <xf numFmtId="4" fontId="14" fillId="0" borderId="1" xfId="1" applyNumberFormat="1" applyFont="1" applyFill="1" applyBorder="1" applyAlignment="1">
      <alignment horizontal="center" vertical="center" wrapText="1"/>
    </xf>
    <xf numFmtId="0" fontId="12" fillId="0" borderId="0" xfId="0" applyFont="1" applyFill="1" applyAlignment="1">
      <alignment horizontal="left" vertical="center" wrapText="1"/>
    </xf>
    <xf numFmtId="0" fontId="13" fillId="0" borderId="1" xfId="1" applyFont="1" applyFill="1" applyBorder="1" applyAlignment="1">
      <alignment horizontal="center" vertical="center" wrapText="1"/>
    </xf>
    <xf numFmtId="0" fontId="18" fillId="0" borderId="1" xfId="0" applyFont="1" applyFill="1" applyBorder="1" applyAlignment="1">
      <alignment horizontal="center" vertical="center" wrapText="1"/>
    </xf>
  </cellXfs>
  <cellStyles count="12">
    <cellStyle name="Excel Built-in Normal" xfId="8"/>
    <cellStyle name="КАНДАГАЧ тел3-33-96" xfId="7"/>
    <cellStyle name="КАНДАГАЧ тел3-33-96 2" xfId="10"/>
    <cellStyle name="Обычный" xfId="0" builtinId="0"/>
    <cellStyle name="Обычный 2" xfId="1"/>
    <cellStyle name="Обычный 2 2" xfId="9"/>
    <cellStyle name="Обычный 2 2 4 3" xfId="4"/>
    <cellStyle name="Обычный 3" xfId="2"/>
    <cellStyle name="Обычный 4" xfId="11"/>
    <cellStyle name="Обычный_Лист1" xfId="3"/>
    <cellStyle name="Стиль 1" xfId="5"/>
    <cellStyle name="Финансовый" xfId="6" builtin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BAIMU~1/AppData/Local/Temp/notes459424/&#1087;&#1077;&#1088;&#1077;&#1095;&#1077;&#1085;&#1100;/&#1055;&#1088;&#1080;&#1083;&#1086;&#1078;&#1077;&#1085;&#1080;&#1077;%20&#8470;3%20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 val="Лист3"/>
      <sheetName val="Лист4"/>
      <sheetName val="Лист5"/>
      <sheetName val="Лист6"/>
      <sheetName val="Лист7"/>
      <sheetName val="Лист8"/>
      <sheetName val="Лист9"/>
      <sheetName val="Лист10"/>
      <sheetName val="Лист11"/>
      <sheetName val="Лист12"/>
      <sheetName val="Лист13"/>
      <sheetName val="Лист14"/>
      <sheetName val="Лист15"/>
      <sheetName val="Лист16"/>
      <sheetName val="Лист17"/>
      <sheetName val="Лист18"/>
      <sheetName val="Лист19"/>
      <sheetName val="Лист20"/>
      <sheetName val="Лист21"/>
      <sheetName val="Лист22"/>
      <sheetName val="Лист23"/>
      <sheetName val="Лист25"/>
      <sheetName val="Лист26"/>
      <sheetName val="Лист24"/>
      <sheetName val="Лист2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3">
          <cell r="G33">
            <v>14544210</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465"/>
  <sheetViews>
    <sheetView tabSelected="1" zoomScale="60" zoomScaleNormal="60" workbookViewId="0">
      <pane xSplit="6" ySplit="14" topLeftCell="H372" activePane="bottomRight" state="frozen"/>
      <selection pane="topRight" activeCell="K1" sqref="K1"/>
      <selection pane="bottomLeft" activeCell="A15" sqref="A15"/>
      <selection pane="bottomRight" activeCell="Q1" sqref="Q1:Q1048576"/>
    </sheetView>
  </sheetViews>
  <sheetFormatPr defaultRowHeight="15.75" x14ac:dyDescent="0.25"/>
  <cols>
    <col min="1" max="1" width="6" style="1" customWidth="1"/>
    <col min="2" max="2" width="23.85546875" style="1" customWidth="1"/>
    <col min="3" max="3" width="34.140625" style="1" customWidth="1"/>
    <col min="4" max="4" width="56.85546875" style="1" customWidth="1"/>
    <col min="5" max="5" width="12.7109375" style="1" customWidth="1"/>
    <col min="6" max="6" width="20.42578125" style="1" customWidth="1"/>
    <col min="7" max="7" width="15.85546875" style="1" customWidth="1"/>
    <col min="8" max="8" width="23" style="1" customWidth="1"/>
    <col min="9" max="9" width="22.28515625" style="1" customWidth="1"/>
    <col min="10" max="10" width="17.7109375" style="1" customWidth="1"/>
    <col min="11" max="11" width="17.85546875" style="1" customWidth="1"/>
    <col min="12" max="12" width="18.5703125" style="2" customWidth="1"/>
    <col min="13" max="13" width="20.140625" style="69" customWidth="1"/>
    <col min="14" max="14" width="23.140625" style="69" customWidth="1"/>
    <col min="15" max="15" width="12" style="1" customWidth="1"/>
    <col min="16" max="16" width="29.5703125" style="1" customWidth="1"/>
    <col min="17" max="16384" width="9.140625" style="1"/>
  </cols>
  <sheetData>
    <row r="1" spans="1:26" x14ac:dyDescent="0.25">
      <c r="A1" s="95"/>
      <c r="B1" s="95"/>
      <c r="C1" s="95"/>
      <c r="M1" s="93" t="s">
        <v>16</v>
      </c>
      <c r="N1" s="93"/>
      <c r="O1" s="93"/>
    </row>
    <row r="2" spans="1:26" x14ac:dyDescent="0.25">
      <c r="M2" s="93" t="s">
        <v>241</v>
      </c>
      <c r="N2" s="93"/>
      <c r="O2" s="93"/>
    </row>
    <row r="3" spans="1:26" x14ac:dyDescent="0.25">
      <c r="M3" s="93" t="s">
        <v>49</v>
      </c>
      <c r="N3" s="93"/>
      <c r="O3" s="93"/>
    </row>
    <row r="4" spans="1:26" ht="11.25" customHeight="1" x14ac:dyDescent="0.25">
      <c r="M4" s="93" t="s">
        <v>529</v>
      </c>
      <c r="N4" s="93"/>
      <c r="O4" s="93"/>
    </row>
    <row r="5" spans="1:26" x14ac:dyDescent="0.25">
      <c r="M5" s="94" t="s">
        <v>530</v>
      </c>
      <c r="N5" s="94"/>
      <c r="O5" s="91"/>
    </row>
    <row r="6" spans="1:26" x14ac:dyDescent="0.25">
      <c r="M6" s="4"/>
      <c r="N6" s="4"/>
      <c r="O6" s="3"/>
    </row>
    <row r="7" spans="1:26" x14ac:dyDescent="0.25">
      <c r="C7" s="92"/>
      <c r="D7" s="92"/>
      <c r="E7" s="92"/>
      <c r="F7" s="92"/>
      <c r="G7" s="92"/>
      <c r="H7" s="92"/>
      <c r="I7" s="92"/>
      <c r="J7" s="92"/>
      <c r="K7" s="92"/>
      <c r="L7" s="92"/>
      <c r="M7" s="92"/>
      <c r="N7" s="92"/>
      <c r="O7" s="92"/>
    </row>
    <row r="8" spans="1:26" x14ac:dyDescent="0.25">
      <c r="C8" s="92" t="s">
        <v>48</v>
      </c>
      <c r="D8" s="92"/>
      <c r="E8" s="92"/>
      <c r="F8" s="92"/>
      <c r="G8" s="92"/>
      <c r="H8" s="92"/>
      <c r="I8" s="92"/>
      <c r="J8" s="92"/>
      <c r="K8" s="92"/>
      <c r="L8" s="92"/>
      <c r="M8" s="92"/>
      <c r="N8" s="92"/>
      <c r="O8" s="92"/>
    </row>
    <row r="11" spans="1:26" ht="15" customHeight="1" x14ac:dyDescent="0.25">
      <c r="A11" s="96" t="s">
        <v>0</v>
      </c>
      <c r="B11" s="96" t="s">
        <v>1</v>
      </c>
      <c r="C11" s="96" t="s">
        <v>2</v>
      </c>
      <c r="D11" s="96" t="s">
        <v>3</v>
      </c>
      <c r="E11" s="96" t="s">
        <v>4</v>
      </c>
      <c r="F11" s="96" t="s">
        <v>5</v>
      </c>
      <c r="G11" s="96" t="s">
        <v>6</v>
      </c>
      <c r="H11" s="96" t="s">
        <v>7</v>
      </c>
      <c r="I11" s="96" t="s">
        <v>8</v>
      </c>
      <c r="J11" s="96" t="s">
        <v>9</v>
      </c>
      <c r="K11" s="96" t="s">
        <v>10</v>
      </c>
      <c r="L11" s="97" t="s">
        <v>11</v>
      </c>
      <c r="M11" s="98" t="s">
        <v>12</v>
      </c>
      <c r="N11" s="98" t="s">
        <v>13</v>
      </c>
      <c r="O11" s="96" t="s">
        <v>14</v>
      </c>
    </row>
    <row r="12" spans="1:26" ht="119.25" customHeight="1" x14ac:dyDescent="0.25">
      <c r="A12" s="96"/>
      <c r="B12" s="96"/>
      <c r="C12" s="96"/>
      <c r="D12" s="96"/>
      <c r="E12" s="96"/>
      <c r="F12" s="96"/>
      <c r="G12" s="96"/>
      <c r="H12" s="96"/>
      <c r="I12" s="96"/>
      <c r="J12" s="96"/>
      <c r="K12" s="96"/>
      <c r="L12" s="97"/>
      <c r="M12" s="98"/>
      <c r="N12" s="98"/>
      <c r="O12" s="96"/>
    </row>
    <row r="13" spans="1:26" x14ac:dyDescent="0.25">
      <c r="A13" s="5">
        <v>1</v>
      </c>
      <c r="B13" s="6">
        <v>2</v>
      </c>
      <c r="C13" s="6">
        <v>4</v>
      </c>
      <c r="D13" s="6">
        <v>5</v>
      </c>
      <c r="E13" s="6">
        <v>7</v>
      </c>
      <c r="F13" s="6">
        <v>9</v>
      </c>
      <c r="G13" s="6">
        <v>10</v>
      </c>
      <c r="H13" s="6">
        <v>11</v>
      </c>
      <c r="I13" s="6">
        <v>12</v>
      </c>
      <c r="J13" s="6">
        <v>13</v>
      </c>
      <c r="K13" s="6">
        <v>14</v>
      </c>
      <c r="L13" s="7">
        <v>15</v>
      </c>
      <c r="M13" s="7">
        <v>16</v>
      </c>
      <c r="N13" s="7">
        <v>17</v>
      </c>
      <c r="O13" s="6">
        <v>18</v>
      </c>
    </row>
    <row r="14" spans="1:26" x14ac:dyDescent="0.25">
      <c r="A14" s="100" t="s">
        <v>15</v>
      </c>
      <c r="B14" s="100"/>
      <c r="C14" s="8"/>
      <c r="D14" s="8"/>
      <c r="E14" s="8"/>
      <c r="F14" s="8"/>
      <c r="G14" s="8"/>
      <c r="H14" s="8"/>
      <c r="I14" s="8"/>
      <c r="J14" s="8"/>
      <c r="K14" s="8"/>
      <c r="L14" s="9"/>
      <c r="M14" s="10"/>
      <c r="N14" s="10"/>
      <c r="O14" s="11"/>
    </row>
    <row r="15" spans="1:26" ht="129" customHeight="1" x14ac:dyDescent="0.25">
      <c r="A15" s="11">
        <v>1</v>
      </c>
      <c r="B15" s="12" t="s">
        <v>45</v>
      </c>
      <c r="C15" s="13" t="s">
        <v>28</v>
      </c>
      <c r="D15" s="13" t="s">
        <v>29</v>
      </c>
      <c r="E15" s="11" t="s">
        <v>20</v>
      </c>
      <c r="F15" s="14" t="s">
        <v>42</v>
      </c>
      <c r="G15" s="11" t="s">
        <v>482</v>
      </c>
      <c r="H15" s="11" t="s">
        <v>494</v>
      </c>
      <c r="I15" s="11" t="s">
        <v>41</v>
      </c>
      <c r="J15" s="13" t="s">
        <v>30</v>
      </c>
      <c r="K15" s="15">
        <v>2419604.88</v>
      </c>
      <c r="L15" s="16">
        <v>15.778141</v>
      </c>
      <c r="M15" s="16">
        <v>38181365.130000003</v>
      </c>
      <c r="N15" s="16">
        <f t="shared" ref="N15" si="0">M15*1.12</f>
        <v>42763128.94560001</v>
      </c>
      <c r="O15" s="16" t="s">
        <v>32</v>
      </c>
      <c r="P15" s="17"/>
      <c r="Q15" s="17"/>
      <c r="R15" s="17"/>
      <c r="S15" s="17"/>
      <c r="T15" s="17"/>
      <c r="U15" s="17"/>
      <c r="V15" s="17"/>
      <c r="W15" s="17"/>
      <c r="X15" s="17"/>
      <c r="Y15" s="17"/>
      <c r="Z15" s="17"/>
    </row>
    <row r="16" spans="1:26" ht="81.75" customHeight="1" x14ac:dyDescent="0.25">
      <c r="A16" s="11">
        <v>2</v>
      </c>
      <c r="B16" s="12" t="s">
        <v>45</v>
      </c>
      <c r="C16" s="13" t="s">
        <v>28</v>
      </c>
      <c r="D16" s="13" t="s">
        <v>29</v>
      </c>
      <c r="E16" s="11" t="s">
        <v>20</v>
      </c>
      <c r="F16" s="14" t="s">
        <v>42</v>
      </c>
      <c r="G16" s="11" t="s">
        <v>482</v>
      </c>
      <c r="H16" s="11" t="s">
        <v>347</v>
      </c>
      <c r="I16" s="11" t="s">
        <v>41</v>
      </c>
      <c r="J16" s="13" t="s">
        <v>30</v>
      </c>
      <c r="K16" s="18">
        <v>2779526</v>
      </c>
      <c r="L16" s="16">
        <v>13.8</v>
      </c>
      <c r="M16" s="16">
        <f>L16*K16</f>
        <v>38357458.800000004</v>
      </c>
      <c r="N16" s="16">
        <f t="shared" ref="N16" si="1">M16*1.12</f>
        <v>42960353.856000006</v>
      </c>
      <c r="O16" s="16" t="s">
        <v>32</v>
      </c>
      <c r="P16" s="17"/>
      <c r="Q16" s="17"/>
      <c r="R16" s="17"/>
      <c r="S16" s="17"/>
      <c r="T16" s="17"/>
      <c r="U16" s="17"/>
      <c r="V16" s="17"/>
      <c r="W16" s="17"/>
      <c r="X16" s="17"/>
      <c r="Y16" s="17"/>
      <c r="Z16" s="17"/>
    </row>
    <row r="17" spans="1:26" ht="132" customHeight="1" x14ac:dyDescent="0.25">
      <c r="A17" s="11">
        <v>3</v>
      </c>
      <c r="B17" s="12" t="s">
        <v>45</v>
      </c>
      <c r="C17" s="19" t="s">
        <v>28</v>
      </c>
      <c r="D17" s="19" t="s">
        <v>29</v>
      </c>
      <c r="E17" s="11" t="s">
        <v>20</v>
      </c>
      <c r="F17" s="14" t="s">
        <v>42</v>
      </c>
      <c r="G17" s="11" t="s">
        <v>482</v>
      </c>
      <c r="H17" s="20" t="s">
        <v>495</v>
      </c>
      <c r="I17" s="20" t="s">
        <v>84</v>
      </c>
      <c r="J17" s="19" t="s">
        <v>30</v>
      </c>
      <c r="K17" s="21">
        <v>194415</v>
      </c>
      <c r="L17" s="22">
        <v>16.510000000000002</v>
      </c>
      <c r="M17" s="22">
        <v>3209792</v>
      </c>
      <c r="N17" s="22">
        <f>M17*1.12</f>
        <v>3594967.0400000005</v>
      </c>
      <c r="O17" s="16" t="s">
        <v>32</v>
      </c>
      <c r="P17" s="17"/>
      <c r="Q17" s="17"/>
      <c r="R17" s="17"/>
      <c r="S17" s="17"/>
      <c r="T17" s="17"/>
      <c r="U17" s="17"/>
      <c r="V17" s="17"/>
      <c r="W17" s="17"/>
      <c r="X17" s="17"/>
      <c r="Y17" s="17"/>
      <c r="Z17" s="17"/>
    </row>
    <row r="18" spans="1:26" ht="81.75" customHeight="1" x14ac:dyDescent="0.25">
      <c r="A18" s="11">
        <v>4</v>
      </c>
      <c r="B18" s="12" t="s">
        <v>45</v>
      </c>
      <c r="C18" s="13" t="s">
        <v>28</v>
      </c>
      <c r="D18" s="13" t="s">
        <v>29</v>
      </c>
      <c r="E18" s="11" t="s">
        <v>20</v>
      </c>
      <c r="F18" s="14" t="s">
        <v>42</v>
      </c>
      <c r="G18" s="11" t="s">
        <v>482</v>
      </c>
      <c r="H18" s="11" t="s">
        <v>496</v>
      </c>
      <c r="I18" s="11" t="s">
        <v>84</v>
      </c>
      <c r="J18" s="13" t="s">
        <v>30</v>
      </c>
      <c r="K18" s="15">
        <v>708715.79</v>
      </c>
      <c r="L18" s="16">
        <v>14.7</v>
      </c>
      <c r="M18" s="16">
        <v>10418122</v>
      </c>
      <c r="N18" s="16">
        <f>M18*1.12</f>
        <v>11668296.640000001</v>
      </c>
      <c r="O18" s="16" t="s">
        <v>32</v>
      </c>
      <c r="P18" s="17"/>
      <c r="Q18" s="17"/>
      <c r="R18" s="17"/>
      <c r="S18" s="17"/>
      <c r="T18" s="17"/>
      <c r="U18" s="17"/>
      <c r="V18" s="17"/>
      <c r="W18" s="17"/>
      <c r="X18" s="17"/>
      <c r="Y18" s="17"/>
      <c r="Z18" s="17"/>
    </row>
    <row r="19" spans="1:26" ht="103.5" customHeight="1" x14ac:dyDescent="0.25">
      <c r="A19" s="11">
        <v>5</v>
      </c>
      <c r="B19" s="12" t="s">
        <v>45</v>
      </c>
      <c r="C19" s="13" t="s">
        <v>28</v>
      </c>
      <c r="D19" s="13" t="s">
        <v>136</v>
      </c>
      <c r="E19" s="11" t="s">
        <v>20</v>
      </c>
      <c r="F19" s="14" t="s">
        <v>42</v>
      </c>
      <c r="G19" s="11" t="s">
        <v>482</v>
      </c>
      <c r="H19" s="11" t="s">
        <v>497</v>
      </c>
      <c r="I19" s="11" t="s">
        <v>41</v>
      </c>
      <c r="J19" s="13" t="s">
        <v>30</v>
      </c>
      <c r="K19" s="15">
        <v>366257</v>
      </c>
      <c r="L19" s="16">
        <v>17.100000000000001</v>
      </c>
      <c r="M19" s="16">
        <v>6263000</v>
      </c>
      <c r="N19" s="16">
        <f>M19*1.12</f>
        <v>7014560.0000000009</v>
      </c>
      <c r="O19" s="16" t="s">
        <v>32</v>
      </c>
      <c r="P19" s="23"/>
      <c r="Q19" s="17"/>
      <c r="R19" s="17"/>
      <c r="S19" s="17"/>
      <c r="T19" s="17"/>
      <c r="U19" s="17"/>
      <c r="V19" s="17"/>
      <c r="W19" s="17"/>
      <c r="X19" s="17"/>
      <c r="Y19" s="17"/>
      <c r="Z19" s="17"/>
    </row>
    <row r="20" spans="1:26" ht="81.75" customHeight="1" x14ac:dyDescent="0.25">
      <c r="A20" s="11">
        <v>6</v>
      </c>
      <c r="B20" s="12" t="s">
        <v>45</v>
      </c>
      <c r="C20" s="13" t="s">
        <v>28</v>
      </c>
      <c r="D20" s="13" t="s">
        <v>136</v>
      </c>
      <c r="E20" s="11" t="s">
        <v>20</v>
      </c>
      <c r="F20" s="14" t="s">
        <v>42</v>
      </c>
      <c r="G20" s="11" t="s">
        <v>482</v>
      </c>
      <c r="H20" s="11" t="s">
        <v>137</v>
      </c>
      <c r="I20" s="11" t="s">
        <v>41</v>
      </c>
      <c r="J20" s="13" t="s">
        <v>30</v>
      </c>
      <c r="K20" s="15">
        <v>79882.25</v>
      </c>
      <c r="L20" s="16">
        <v>12.57</v>
      </c>
      <c r="M20" s="16">
        <v>1004120</v>
      </c>
      <c r="N20" s="16">
        <f>M20*1.12</f>
        <v>1124614.4000000001</v>
      </c>
      <c r="O20" s="16" t="s">
        <v>32</v>
      </c>
      <c r="P20" s="23"/>
      <c r="Q20" s="17"/>
      <c r="R20" s="17"/>
      <c r="S20" s="17"/>
      <c r="T20" s="17"/>
      <c r="U20" s="17"/>
      <c r="V20" s="17"/>
      <c r="W20" s="17"/>
      <c r="X20" s="17"/>
      <c r="Y20" s="17"/>
      <c r="Z20" s="17"/>
    </row>
    <row r="21" spans="1:26" ht="81.75" customHeight="1" x14ac:dyDescent="0.25">
      <c r="A21" s="11">
        <v>7</v>
      </c>
      <c r="B21" s="12" t="s">
        <v>45</v>
      </c>
      <c r="C21" s="13" t="s">
        <v>28</v>
      </c>
      <c r="D21" s="13" t="s">
        <v>29</v>
      </c>
      <c r="E21" s="11" t="s">
        <v>20</v>
      </c>
      <c r="F21" s="14" t="s">
        <v>42</v>
      </c>
      <c r="G21" s="11" t="s">
        <v>482</v>
      </c>
      <c r="H21" s="14" t="s">
        <v>161</v>
      </c>
      <c r="I21" s="24" t="s">
        <v>17</v>
      </c>
      <c r="J21" s="13" t="s">
        <v>30</v>
      </c>
      <c r="K21" s="18">
        <v>617465</v>
      </c>
      <c r="L21" s="16">
        <v>11.36</v>
      </c>
      <c r="M21" s="16">
        <f>K21*L21</f>
        <v>7014402.3999999994</v>
      </c>
      <c r="N21" s="16">
        <f t="shared" ref="N21:N23" si="2">M21*1.12</f>
        <v>7856130.6880000001</v>
      </c>
      <c r="O21" s="16" t="s">
        <v>32</v>
      </c>
      <c r="P21" s="17"/>
      <c r="Q21" s="17"/>
      <c r="R21" s="17"/>
      <c r="S21" s="17"/>
      <c r="T21" s="17"/>
      <c r="U21" s="17"/>
      <c r="V21" s="17"/>
      <c r="W21" s="17"/>
      <c r="X21" s="17"/>
      <c r="Y21" s="17"/>
      <c r="Z21" s="17"/>
    </row>
    <row r="22" spans="1:26" ht="112.5" customHeight="1" x14ac:dyDescent="0.25">
      <c r="A22" s="11">
        <v>8</v>
      </c>
      <c r="B22" s="12" t="s">
        <v>45</v>
      </c>
      <c r="C22" s="13" t="s">
        <v>28</v>
      </c>
      <c r="D22" s="13" t="s">
        <v>29</v>
      </c>
      <c r="E22" s="11" t="s">
        <v>20</v>
      </c>
      <c r="F22" s="14" t="s">
        <v>42</v>
      </c>
      <c r="G22" s="11" t="s">
        <v>482</v>
      </c>
      <c r="H22" s="11" t="s">
        <v>498</v>
      </c>
      <c r="I22" s="11" t="s">
        <v>41</v>
      </c>
      <c r="J22" s="13" t="s">
        <v>30</v>
      </c>
      <c r="K22" s="15">
        <f>M22/L22</f>
        <v>1012751.9213836477</v>
      </c>
      <c r="L22" s="16">
        <v>3.18</v>
      </c>
      <c r="M22" s="15">
        <v>3220551.11</v>
      </c>
      <c r="N22" s="16">
        <f t="shared" si="2"/>
        <v>3607017.2432000004</v>
      </c>
      <c r="O22" s="16" t="s">
        <v>32</v>
      </c>
      <c r="P22" s="17"/>
      <c r="Q22" s="17"/>
      <c r="R22" s="17"/>
      <c r="S22" s="17"/>
      <c r="T22" s="17"/>
      <c r="U22" s="17"/>
      <c r="V22" s="17"/>
      <c r="W22" s="17"/>
      <c r="X22" s="17"/>
      <c r="Y22" s="17"/>
      <c r="Z22" s="17"/>
    </row>
    <row r="23" spans="1:26" ht="81.75" customHeight="1" x14ac:dyDescent="0.25">
      <c r="A23" s="11">
        <v>9</v>
      </c>
      <c r="B23" s="12" t="s">
        <v>45</v>
      </c>
      <c r="C23" s="13" t="s">
        <v>28</v>
      </c>
      <c r="D23" s="13" t="s">
        <v>29</v>
      </c>
      <c r="E23" s="11" t="s">
        <v>20</v>
      </c>
      <c r="F23" s="14" t="s">
        <v>42</v>
      </c>
      <c r="G23" s="11" t="s">
        <v>482</v>
      </c>
      <c r="H23" s="11" t="s">
        <v>498</v>
      </c>
      <c r="I23" s="11" t="s">
        <v>41</v>
      </c>
      <c r="J23" s="13" t="s">
        <v>30</v>
      </c>
      <c r="K23" s="15">
        <f t="shared" ref="K23:K24" si="3">M23/L23</f>
        <v>289012.66726457397</v>
      </c>
      <c r="L23" s="16">
        <v>11.15</v>
      </c>
      <c r="M23" s="15">
        <v>3222491.24</v>
      </c>
      <c r="N23" s="16">
        <f t="shared" si="2"/>
        <v>3609190.1888000006</v>
      </c>
      <c r="O23" s="16" t="s">
        <v>32</v>
      </c>
      <c r="P23" s="17"/>
      <c r="Q23" s="17"/>
      <c r="R23" s="17"/>
      <c r="S23" s="17"/>
      <c r="T23" s="17"/>
      <c r="U23" s="17"/>
      <c r="V23" s="17"/>
      <c r="W23" s="17"/>
      <c r="X23" s="17"/>
      <c r="Y23" s="17"/>
      <c r="Z23" s="17"/>
    </row>
    <row r="24" spans="1:26" ht="81.75" customHeight="1" x14ac:dyDescent="0.25">
      <c r="A24" s="11">
        <v>10</v>
      </c>
      <c r="B24" s="12" t="s">
        <v>45</v>
      </c>
      <c r="C24" s="13" t="s">
        <v>28</v>
      </c>
      <c r="D24" s="13" t="s">
        <v>29</v>
      </c>
      <c r="E24" s="11" t="s">
        <v>20</v>
      </c>
      <c r="F24" s="14" t="s">
        <v>42</v>
      </c>
      <c r="G24" s="11" t="s">
        <v>482</v>
      </c>
      <c r="H24" s="11" t="s">
        <v>498</v>
      </c>
      <c r="I24" s="11" t="s">
        <v>41</v>
      </c>
      <c r="J24" s="13" t="s">
        <v>30</v>
      </c>
      <c r="K24" s="15">
        <f t="shared" si="3"/>
        <v>137851.05431993157</v>
      </c>
      <c r="L24" s="16">
        <v>23.38</v>
      </c>
      <c r="M24" s="15">
        <v>3222957.65</v>
      </c>
      <c r="N24" s="16">
        <f>M24*1.12</f>
        <v>3609712.5680000004</v>
      </c>
      <c r="O24" s="16" t="s">
        <v>32</v>
      </c>
      <c r="P24" s="17"/>
      <c r="Q24" s="17"/>
      <c r="R24" s="17"/>
      <c r="S24" s="17"/>
      <c r="T24" s="17"/>
      <c r="U24" s="17"/>
      <c r="V24" s="17"/>
      <c r="W24" s="17"/>
      <c r="X24" s="17"/>
      <c r="Y24" s="17"/>
      <c r="Z24" s="17"/>
    </row>
    <row r="25" spans="1:26" ht="123" customHeight="1" x14ac:dyDescent="0.25">
      <c r="A25" s="11">
        <v>11</v>
      </c>
      <c r="B25" s="12" t="s">
        <v>45</v>
      </c>
      <c r="C25" s="13" t="s">
        <v>28</v>
      </c>
      <c r="D25" s="13" t="s">
        <v>29</v>
      </c>
      <c r="E25" s="11" t="s">
        <v>20</v>
      </c>
      <c r="F25" s="14" t="s">
        <v>42</v>
      </c>
      <c r="G25" s="11" t="s">
        <v>482</v>
      </c>
      <c r="H25" s="11" t="s">
        <v>499</v>
      </c>
      <c r="I25" s="11" t="s">
        <v>41</v>
      </c>
      <c r="J25" s="13" t="s">
        <v>30</v>
      </c>
      <c r="K25" s="15">
        <v>342042</v>
      </c>
      <c r="L25" s="25">
        <v>13.571400000000001</v>
      </c>
      <c r="M25" s="16">
        <v>4641998.57</v>
      </c>
      <c r="N25" s="16">
        <v>5199037.4000000004</v>
      </c>
      <c r="O25" s="16" t="s">
        <v>32</v>
      </c>
      <c r="P25" s="23"/>
      <c r="Q25" s="17"/>
      <c r="R25" s="17"/>
      <c r="S25" s="17"/>
      <c r="T25" s="17"/>
      <c r="U25" s="17"/>
      <c r="V25" s="17"/>
      <c r="W25" s="17"/>
      <c r="X25" s="17"/>
      <c r="Y25" s="17"/>
      <c r="Z25" s="17"/>
    </row>
    <row r="26" spans="1:26" ht="81.75" customHeight="1" x14ac:dyDescent="0.25">
      <c r="A26" s="11">
        <v>12</v>
      </c>
      <c r="B26" s="12" t="s">
        <v>45</v>
      </c>
      <c r="C26" s="19" t="s">
        <v>28</v>
      </c>
      <c r="D26" s="19" t="s">
        <v>29</v>
      </c>
      <c r="E26" s="11" t="s">
        <v>20</v>
      </c>
      <c r="F26" s="14" t="s">
        <v>42</v>
      </c>
      <c r="G26" s="11" t="s">
        <v>482</v>
      </c>
      <c r="H26" s="11" t="s">
        <v>502</v>
      </c>
      <c r="I26" s="20" t="s">
        <v>84</v>
      </c>
      <c r="J26" s="19" t="s">
        <v>30</v>
      </c>
      <c r="K26" s="15">
        <v>148548.69</v>
      </c>
      <c r="L26" s="22">
        <v>16</v>
      </c>
      <c r="M26" s="22">
        <v>2376779</v>
      </c>
      <c r="N26" s="22">
        <f>M26*1.12</f>
        <v>2661992.4800000004</v>
      </c>
      <c r="O26" s="22" t="s">
        <v>32</v>
      </c>
      <c r="P26" s="17"/>
      <c r="Q26" s="17"/>
      <c r="R26" s="17"/>
      <c r="S26" s="17"/>
      <c r="T26" s="17"/>
      <c r="U26" s="17"/>
      <c r="V26" s="17"/>
      <c r="W26" s="17"/>
      <c r="X26" s="17"/>
      <c r="Y26" s="17"/>
      <c r="Z26" s="17"/>
    </row>
    <row r="27" spans="1:26" ht="81.75" customHeight="1" x14ac:dyDescent="0.25">
      <c r="A27" s="11">
        <v>13</v>
      </c>
      <c r="B27" s="12" t="s">
        <v>45</v>
      </c>
      <c r="C27" s="13" t="s">
        <v>28</v>
      </c>
      <c r="D27" s="13" t="s">
        <v>29</v>
      </c>
      <c r="E27" s="11" t="s">
        <v>20</v>
      </c>
      <c r="F27" s="14" t="s">
        <v>42</v>
      </c>
      <c r="G27" s="11" t="s">
        <v>482</v>
      </c>
      <c r="H27" s="11" t="s">
        <v>504</v>
      </c>
      <c r="I27" s="20" t="s">
        <v>84</v>
      </c>
      <c r="J27" s="13" t="s">
        <v>30</v>
      </c>
      <c r="K27" s="15">
        <v>64923.08</v>
      </c>
      <c r="L27" s="16">
        <v>13</v>
      </c>
      <c r="M27" s="16">
        <f>L27*K27</f>
        <v>844000.04</v>
      </c>
      <c r="N27" s="16">
        <f>M27*1.12</f>
        <v>945280.04480000015</v>
      </c>
      <c r="O27" s="26" t="s">
        <v>32</v>
      </c>
      <c r="P27" s="17"/>
      <c r="Q27" s="17"/>
      <c r="R27" s="17"/>
      <c r="S27" s="17"/>
      <c r="T27" s="17"/>
      <c r="U27" s="17"/>
      <c r="V27" s="17"/>
      <c r="W27" s="17"/>
      <c r="X27" s="17"/>
      <c r="Y27" s="17"/>
      <c r="Z27" s="17"/>
    </row>
    <row r="28" spans="1:26" ht="97.5" customHeight="1" x14ac:dyDescent="0.25">
      <c r="A28" s="11">
        <v>14</v>
      </c>
      <c r="B28" s="12" t="s">
        <v>45</v>
      </c>
      <c r="C28" s="13" t="s">
        <v>28</v>
      </c>
      <c r="D28" s="13" t="s">
        <v>29</v>
      </c>
      <c r="E28" s="11" t="s">
        <v>20</v>
      </c>
      <c r="F28" s="14" t="s">
        <v>42</v>
      </c>
      <c r="G28" s="11" t="s">
        <v>482</v>
      </c>
      <c r="H28" s="14" t="s">
        <v>327</v>
      </c>
      <c r="I28" s="11" t="s">
        <v>41</v>
      </c>
      <c r="J28" s="13" t="s">
        <v>30</v>
      </c>
      <c r="K28" s="15">
        <v>207877</v>
      </c>
      <c r="L28" s="16">
        <v>13.81</v>
      </c>
      <c r="M28" s="16">
        <f>L28*K28</f>
        <v>2870781.37</v>
      </c>
      <c r="N28" s="27">
        <f>M28*1.12</f>
        <v>3215275.1344000003</v>
      </c>
      <c r="O28" s="13" t="s">
        <v>32</v>
      </c>
      <c r="P28" s="23"/>
      <c r="Q28" s="17"/>
      <c r="R28" s="17"/>
      <c r="S28" s="17"/>
      <c r="T28" s="17"/>
      <c r="U28" s="17"/>
      <c r="V28" s="17"/>
      <c r="W28" s="17"/>
      <c r="X28" s="17"/>
      <c r="Y28" s="17"/>
      <c r="Z28" s="17"/>
    </row>
    <row r="29" spans="1:26" ht="116.25" customHeight="1" x14ac:dyDescent="0.25">
      <c r="A29" s="11">
        <v>15</v>
      </c>
      <c r="B29" s="12" t="s">
        <v>45</v>
      </c>
      <c r="C29" s="13" t="s">
        <v>28</v>
      </c>
      <c r="D29" s="13" t="s">
        <v>29</v>
      </c>
      <c r="E29" s="11" t="s">
        <v>20</v>
      </c>
      <c r="F29" s="14" t="s">
        <v>42</v>
      </c>
      <c r="G29" s="11" t="s">
        <v>482</v>
      </c>
      <c r="H29" s="14" t="s">
        <v>508</v>
      </c>
      <c r="I29" s="11" t="s">
        <v>41</v>
      </c>
      <c r="J29" s="13" t="s">
        <v>30</v>
      </c>
      <c r="K29" s="15">
        <v>173953</v>
      </c>
      <c r="L29" s="16">
        <v>11.05</v>
      </c>
      <c r="M29" s="27">
        <f t="shared" ref="M29:M35" si="4">L29*K29</f>
        <v>1922180.6500000001</v>
      </c>
      <c r="N29" s="27">
        <f>M29*1.12</f>
        <v>2152842.3280000002</v>
      </c>
      <c r="O29" s="13" t="s">
        <v>32</v>
      </c>
      <c r="P29" s="23"/>
      <c r="Q29" s="17"/>
      <c r="R29" s="17"/>
      <c r="S29" s="17"/>
      <c r="T29" s="17"/>
      <c r="U29" s="17"/>
      <c r="V29" s="17"/>
      <c r="W29" s="17"/>
      <c r="X29" s="17"/>
      <c r="Y29" s="17"/>
      <c r="Z29" s="17"/>
    </row>
    <row r="30" spans="1:26" ht="110.25" customHeight="1" x14ac:dyDescent="0.25">
      <c r="A30" s="11">
        <v>16</v>
      </c>
      <c r="B30" s="12" t="s">
        <v>45</v>
      </c>
      <c r="C30" s="13" t="s">
        <v>28</v>
      </c>
      <c r="D30" s="13" t="s">
        <v>29</v>
      </c>
      <c r="E30" s="11" t="s">
        <v>20</v>
      </c>
      <c r="F30" s="14" t="s">
        <v>42</v>
      </c>
      <c r="G30" s="11" t="s">
        <v>482</v>
      </c>
      <c r="H30" s="13" t="s">
        <v>328</v>
      </c>
      <c r="I30" s="11" t="s">
        <v>41</v>
      </c>
      <c r="J30" s="13" t="s">
        <v>30</v>
      </c>
      <c r="K30" s="15">
        <v>720000</v>
      </c>
      <c r="L30" s="15">
        <v>13.54</v>
      </c>
      <c r="M30" s="16">
        <f t="shared" si="4"/>
        <v>9748800</v>
      </c>
      <c r="N30" s="15">
        <f>M30*1.12</f>
        <v>10918656.000000002</v>
      </c>
      <c r="O30" s="28" t="s">
        <v>32</v>
      </c>
      <c r="P30" s="17"/>
      <c r="Q30" s="17"/>
      <c r="R30" s="17"/>
      <c r="S30" s="17"/>
      <c r="T30" s="17"/>
      <c r="U30" s="17"/>
      <c r="V30" s="17"/>
      <c r="W30" s="17"/>
      <c r="X30" s="17"/>
      <c r="Y30" s="17"/>
      <c r="Z30" s="17"/>
    </row>
    <row r="31" spans="1:26" ht="106.5" customHeight="1" x14ac:dyDescent="0.25">
      <c r="A31" s="11">
        <v>17</v>
      </c>
      <c r="B31" s="12" t="s">
        <v>45</v>
      </c>
      <c r="C31" s="13" t="s">
        <v>28</v>
      </c>
      <c r="D31" s="13" t="s">
        <v>29</v>
      </c>
      <c r="E31" s="11" t="s">
        <v>20</v>
      </c>
      <c r="F31" s="14" t="s">
        <v>42</v>
      </c>
      <c r="G31" s="11" t="s">
        <v>482</v>
      </c>
      <c r="H31" s="13" t="s">
        <v>328</v>
      </c>
      <c r="I31" s="11" t="s">
        <v>41</v>
      </c>
      <c r="J31" s="13" t="s">
        <v>30</v>
      </c>
      <c r="K31" s="15">
        <v>299856</v>
      </c>
      <c r="L31" s="15">
        <v>28.33</v>
      </c>
      <c r="M31" s="16">
        <f t="shared" si="4"/>
        <v>8494920.4799999986</v>
      </c>
      <c r="N31" s="15">
        <f t="shared" ref="N31:N32" si="5">M31*1.12</f>
        <v>9514310.9375999998</v>
      </c>
      <c r="O31" s="28" t="s">
        <v>32</v>
      </c>
      <c r="P31" s="23"/>
      <c r="Q31" s="17"/>
      <c r="R31" s="17"/>
      <c r="S31" s="17"/>
      <c r="T31" s="17"/>
      <c r="U31" s="17"/>
      <c r="V31" s="17"/>
      <c r="W31" s="17"/>
      <c r="X31" s="17"/>
      <c r="Y31" s="17"/>
      <c r="Z31" s="17"/>
    </row>
    <row r="32" spans="1:26" ht="100.5" customHeight="1" x14ac:dyDescent="0.25">
      <c r="A32" s="11">
        <v>18</v>
      </c>
      <c r="B32" s="12" t="s">
        <v>45</v>
      </c>
      <c r="C32" s="13" t="s">
        <v>28</v>
      </c>
      <c r="D32" s="13" t="s">
        <v>29</v>
      </c>
      <c r="E32" s="11" t="s">
        <v>20</v>
      </c>
      <c r="F32" s="14" t="s">
        <v>42</v>
      </c>
      <c r="G32" s="11" t="s">
        <v>482</v>
      </c>
      <c r="H32" s="13" t="s">
        <v>328</v>
      </c>
      <c r="I32" s="11" t="s">
        <v>41</v>
      </c>
      <c r="J32" s="13" t="s">
        <v>30</v>
      </c>
      <c r="K32" s="15">
        <v>480347.71</v>
      </c>
      <c r="L32" s="15">
        <v>3.0819999999999999</v>
      </c>
      <c r="M32" s="16">
        <f t="shared" si="4"/>
        <v>1480431.64222</v>
      </c>
      <c r="N32" s="15">
        <f t="shared" si="5"/>
        <v>1658083.4392864001</v>
      </c>
      <c r="O32" s="28" t="s">
        <v>32</v>
      </c>
      <c r="P32" s="17"/>
      <c r="Q32" s="17"/>
      <c r="R32" s="17"/>
      <c r="S32" s="17"/>
      <c r="T32" s="17"/>
      <c r="U32" s="17"/>
      <c r="V32" s="17"/>
      <c r="W32" s="17"/>
      <c r="X32" s="17"/>
      <c r="Y32" s="17"/>
      <c r="Z32" s="17"/>
    </row>
    <row r="33" spans="1:26" ht="89.25" customHeight="1" x14ac:dyDescent="0.25">
      <c r="A33" s="11">
        <v>19</v>
      </c>
      <c r="B33" s="12" t="s">
        <v>45</v>
      </c>
      <c r="C33" s="13" t="s">
        <v>28</v>
      </c>
      <c r="D33" s="13" t="s">
        <v>29</v>
      </c>
      <c r="E33" s="11" t="s">
        <v>20</v>
      </c>
      <c r="F33" s="14" t="s">
        <v>42</v>
      </c>
      <c r="G33" s="11" t="s">
        <v>482</v>
      </c>
      <c r="H33" s="11" t="s">
        <v>509</v>
      </c>
      <c r="I33" s="11" t="s">
        <v>84</v>
      </c>
      <c r="J33" s="13" t="s">
        <v>30</v>
      </c>
      <c r="K33" s="15">
        <v>116333.5</v>
      </c>
      <c r="L33" s="16">
        <v>17.420000000000002</v>
      </c>
      <c r="M33" s="16">
        <v>2026530</v>
      </c>
      <c r="N33" s="16">
        <f>M33*1.12</f>
        <v>2269713.6</v>
      </c>
      <c r="O33" s="16" t="s">
        <v>32</v>
      </c>
      <c r="P33" s="23"/>
      <c r="Q33" s="17"/>
      <c r="R33" s="17"/>
      <c r="S33" s="17"/>
      <c r="T33" s="17"/>
      <c r="U33" s="17"/>
      <c r="V33" s="17"/>
      <c r="W33" s="17"/>
      <c r="X33" s="17"/>
      <c r="Y33" s="17"/>
      <c r="Z33" s="17"/>
    </row>
    <row r="34" spans="1:26" ht="101.25" customHeight="1" x14ac:dyDescent="0.25">
      <c r="A34" s="11">
        <v>20</v>
      </c>
      <c r="B34" s="12" t="s">
        <v>45</v>
      </c>
      <c r="C34" s="13" t="s">
        <v>28</v>
      </c>
      <c r="D34" s="13" t="s">
        <v>29</v>
      </c>
      <c r="E34" s="11" t="s">
        <v>20</v>
      </c>
      <c r="F34" s="14" t="s">
        <v>42</v>
      </c>
      <c r="G34" s="11" t="s">
        <v>482</v>
      </c>
      <c r="H34" s="11" t="s">
        <v>509</v>
      </c>
      <c r="I34" s="11" t="s">
        <v>84</v>
      </c>
      <c r="J34" s="13" t="s">
        <v>30</v>
      </c>
      <c r="K34" s="15">
        <v>164642</v>
      </c>
      <c r="L34" s="16">
        <v>5.53</v>
      </c>
      <c r="M34" s="16">
        <v>910470</v>
      </c>
      <c r="N34" s="16">
        <f>M34*1.12</f>
        <v>1019726.4000000001</v>
      </c>
      <c r="O34" s="16" t="s">
        <v>32</v>
      </c>
      <c r="P34" s="17"/>
      <c r="Q34" s="17"/>
      <c r="R34" s="17"/>
      <c r="S34" s="17"/>
      <c r="T34" s="17"/>
      <c r="U34" s="17"/>
      <c r="V34" s="17"/>
      <c r="W34" s="17"/>
      <c r="X34" s="17"/>
      <c r="Y34" s="17"/>
      <c r="Z34" s="17"/>
    </row>
    <row r="35" spans="1:26" ht="118.5" customHeight="1" x14ac:dyDescent="0.25">
      <c r="A35" s="11">
        <v>21</v>
      </c>
      <c r="B35" s="12" t="s">
        <v>45</v>
      </c>
      <c r="C35" s="13" t="s">
        <v>28</v>
      </c>
      <c r="D35" s="13" t="s">
        <v>29</v>
      </c>
      <c r="E35" s="11" t="s">
        <v>20</v>
      </c>
      <c r="F35" s="14" t="s">
        <v>42</v>
      </c>
      <c r="G35" s="11" t="s">
        <v>482</v>
      </c>
      <c r="H35" s="11" t="s">
        <v>510</v>
      </c>
      <c r="I35" s="11" t="s">
        <v>84</v>
      </c>
      <c r="J35" s="13" t="s">
        <v>30</v>
      </c>
      <c r="K35" s="15">
        <v>204898.5</v>
      </c>
      <c r="L35" s="16">
        <v>14.05</v>
      </c>
      <c r="M35" s="16">
        <f t="shared" si="4"/>
        <v>2878823.9250000003</v>
      </c>
      <c r="N35" s="16">
        <f>M35*1.12</f>
        <v>3224282.7960000006</v>
      </c>
      <c r="O35" s="16" t="s">
        <v>32</v>
      </c>
      <c r="P35" s="17"/>
      <c r="Q35" s="17"/>
      <c r="R35" s="17"/>
      <c r="S35" s="17"/>
      <c r="T35" s="17"/>
      <c r="U35" s="17"/>
      <c r="V35" s="17"/>
      <c r="W35" s="17"/>
      <c r="X35" s="17"/>
      <c r="Y35" s="17"/>
      <c r="Z35" s="17"/>
    </row>
    <row r="36" spans="1:26" ht="131.25" customHeight="1" x14ac:dyDescent="0.25">
      <c r="A36" s="11">
        <v>22</v>
      </c>
      <c r="B36" s="12" t="s">
        <v>45</v>
      </c>
      <c r="C36" s="29" t="s">
        <v>18</v>
      </c>
      <c r="D36" s="29" t="s">
        <v>116</v>
      </c>
      <c r="E36" s="13" t="s">
        <v>24</v>
      </c>
      <c r="F36" s="14" t="s">
        <v>42</v>
      </c>
      <c r="G36" s="11" t="s">
        <v>482</v>
      </c>
      <c r="H36" s="11" t="s">
        <v>494</v>
      </c>
      <c r="I36" s="24" t="s">
        <v>17</v>
      </c>
      <c r="J36" s="13" t="s">
        <v>21</v>
      </c>
      <c r="K36" s="18">
        <v>665446</v>
      </c>
      <c r="L36" s="15">
        <v>122.66</v>
      </c>
      <c r="M36" s="15">
        <f t="shared" ref="M36" si="6">L36*K36</f>
        <v>81623606.359999999</v>
      </c>
      <c r="N36" s="15">
        <f t="shared" ref="N36" si="7">M36*1.12</f>
        <v>91418439.123200014</v>
      </c>
      <c r="O36" s="16" t="s">
        <v>32</v>
      </c>
      <c r="P36" s="17"/>
      <c r="Q36" s="17"/>
      <c r="R36" s="17"/>
      <c r="S36" s="17"/>
      <c r="T36" s="17"/>
      <c r="U36" s="17"/>
      <c r="V36" s="17"/>
      <c r="W36" s="17"/>
      <c r="X36" s="17"/>
      <c r="Y36" s="17"/>
      <c r="Z36" s="17"/>
    </row>
    <row r="37" spans="1:26" ht="81.75" customHeight="1" x14ac:dyDescent="0.25">
      <c r="A37" s="11">
        <v>23</v>
      </c>
      <c r="B37" s="12" t="s">
        <v>45</v>
      </c>
      <c r="C37" s="29" t="s">
        <v>18</v>
      </c>
      <c r="D37" s="29" t="s">
        <v>116</v>
      </c>
      <c r="E37" s="13" t="s">
        <v>24</v>
      </c>
      <c r="F37" s="14" t="s">
        <v>42</v>
      </c>
      <c r="G37" s="11" t="s">
        <v>482</v>
      </c>
      <c r="H37" s="11" t="s">
        <v>347</v>
      </c>
      <c r="I37" s="24" t="s">
        <v>17</v>
      </c>
      <c r="J37" s="13" t="s">
        <v>21</v>
      </c>
      <c r="K37" s="18">
        <v>192293</v>
      </c>
      <c r="L37" s="15">
        <v>123.16</v>
      </c>
      <c r="M37" s="15">
        <f>L37*K37</f>
        <v>23682805.879999999</v>
      </c>
      <c r="N37" s="15">
        <f t="shared" ref="N37" si="8">M37*1.12</f>
        <v>26524742.5856</v>
      </c>
      <c r="O37" s="16" t="s">
        <v>32</v>
      </c>
      <c r="P37" s="17"/>
      <c r="Q37" s="17"/>
      <c r="R37" s="17"/>
      <c r="S37" s="17"/>
      <c r="T37" s="17"/>
      <c r="U37" s="17"/>
      <c r="V37" s="17"/>
      <c r="W37" s="17"/>
      <c r="X37" s="17"/>
      <c r="Y37" s="17"/>
      <c r="Z37" s="17"/>
    </row>
    <row r="38" spans="1:26" ht="81.75" customHeight="1" x14ac:dyDescent="0.25">
      <c r="A38" s="11">
        <v>24</v>
      </c>
      <c r="B38" s="12" t="s">
        <v>45</v>
      </c>
      <c r="C38" s="19" t="s">
        <v>18</v>
      </c>
      <c r="D38" s="19" t="s">
        <v>19</v>
      </c>
      <c r="E38" s="11" t="s">
        <v>20</v>
      </c>
      <c r="F38" s="14" t="s">
        <v>42</v>
      </c>
      <c r="G38" s="11" t="s">
        <v>482</v>
      </c>
      <c r="H38" s="20" t="s">
        <v>495</v>
      </c>
      <c r="I38" s="30" t="s">
        <v>17</v>
      </c>
      <c r="J38" s="19" t="s">
        <v>21</v>
      </c>
      <c r="K38" s="19">
        <v>8470</v>
      </c>
      <c r="L38" s="31">
        <v>96.53</v>
      </c>
      <c r="M38" s="21">
        <f>L38*K38</f>
        <v>817609.1</v>
      </c>
      <c r="N38" s="21">
        <f t="shared" ref="N38:N41" si="9">M38*1.12</f>
        <v>915722.19200000004</v>
      </c>
      <c r="O38" s="16" t="s">
        <v>32</v>
      </c>
      <c r="P38" s="17"/>
      <c r="Q38" s="17"/>
      <c r="R38" s="17"/>
      <c r="S38" s="17"/>
      <c r="T38" s="17"/>
      <c r="U38" s="17"/>
      <c r="V38" s="17"/>
      <c r="W38" s="17"/>
      <c r="X38" s="17"/>
      <c r="Y38" s="17"/>
      <c r="Z38" s="17"/>
    </row>
    <row r="39" spans="1:26" ht="81.75" customHeight="1" x14ac:dyDescent="0.25">
      <c r="A39" s="11">
        <v>25</v>
      </c>
      <c r="B39" s="12" t="s">
        <v>45</v>
      </c>
      <c r="C39" s="19" t="s">
        <v>18</v>
      </c>
      <c r="D39" s="19" t="s">
        <v>43</v>
      </c>
      <c r="E39" s="19" t="s">
        <v>20</v>
      </c>
      <c r="F39" s="14" t="s">
        <v>42</v>
      </c>
      <c r="G39" s="11" t="s">
        <v>482</v>
      </c>
      <c r="H39" s="20" t="s">
        <v>495</v>
      </c>
      <c r="I39" s="30" t="s">
        <v>17</v>
      </c>
      <c r="J39" s="19" t="s">
        <v>21</v>
      </c>
      <c r="K39" s="19">
        <v>6500</v>
      </c>
      <c r="L39" s="31">
        <v>141.02199999999999</v>
      </c>
      <c r="M39" s="21">
        <v>916630</v>
      </c>
      <c r="N39" s="21">
        <f t="shared" si="9"/>
        <v>1026625.6000000001</v>
      </c>
      <c r="O39" s="16" t="s">
        <v>32</v>
      </c>
      <c r="P39" s="17"/>
      <c r="Q39" s="17"/>
      <c r="R39" s="17"/>
      <c r="S39" s="17"/>
      <c r="T39" s="17"/>
      <c r="U39" s="17"/>
      <c r="V39" s="17"/>
      <c r="W39" s="17"/>
      <c r="X39" s="17"/>
      <c r="Y39" s="17"/>
      <c r="Z39" s="17"/>
    </row>
    <row r="40" spans="1:26" ht="81.75" customHeight="1" x14ac:dyDescent="0.25">
      <c r="A40" s="11">
        <v>26</v>
      </c>
      <c r="B40" s="12" t="s">
        <v>45</v>
      </c>
      <c r="C40" s="29" t="s">
        <v>18</v>
      </c>
      <c r="D40" s="29" t="s">
        <v>19</v>
      </c>
      <c r="E40" s="11" t="s">
        <v>20</v>
      </c>
      <c r="F40" s="14" t="s">
        <v>42</v>
      </c>
      <c r="G40" s="11" t="s">
        <v>482</v>
      </c>
      <c r="H40" s="11" t="s">
        <v>496</v>
      </c>
      <c r="I40" s="24" t="s">
        <v>17</v>
      </c>
      <c r="J40" s="13" t="s">
        <v>21</v>
      </c>
      <c r="K40" s="18">
        <v>4893</v>
      </c>
      <c r="L40" s="32">
        <v>91.07</v>
      </c>
      <c r="M40" s="15">
        <v>445595.54</v>
      </c>
      <c r="N40" s="15">
        <f t="shared" si="9"/>
        <v>499067.0048</v>
      </c>
      <c r="O40" s="16" t="s">
        <v>32</v>
      </c>
      <c r="P40" s="17"/>
      <c r="Q40" s="17"/>
      <c r="R40" s="17"/>
      <c r="S40" s="17"/>
      <c r="T40" s="17"/>
      <c r="U40" s="17"/>
      <c r="V40" s="17"/>
      <c r="W40" s="17"/>
      <c r="X40" s="17"/>
      <c r="Y40" s="17"/>
      <c r="Z40" s="17"/>
    </row>
    <row r="41" spans="1:26" ht="81.75" customHeight="1" x14ac:dyDescent="0.25">
      <c r="A41" s="11">
        <v>27</v>
      </c>
      <c r="B41" s="12" t="s">
        <v>45</v>
      </c>
      <c r="C41" s="33" t="s">
        <v>18</v>
      </c>
      <c r="D41" s="33" t="s">
        <v>43</v>
      </c>
      <c r="E41" s="11" t="s">
        <v>20</v>
      </c>
      <c r="F41" s="14" t="s">
        <v>42</v>
      </c>
      <c r="G41" s="11" t="s">
        <v>482</v>
      </c>
      <c r="H41" s="11" t="s">
        <v>496</v>
      </c>
      <c r="I41" s="11" t="s">
        <v>17</v>
      </c>
      <c r="J41" s="13" t="s">
        <v>21</v>
      </c>
      <c r="K41" s="18">
        <v>1000</v>
      </c>
      <c r="L41" s="15">
        <v>129.46</v>
      </c>
      <c r="M41" s="15">
        <v>129464.29</v>
      </c>
      <c r="N41" s="15">
        <f t="shared" si="9"/>
        <v>145000.0048</v>
      </c>
      <c r="O41" s="16" t="s">
        <v>32</v>
      </c>
      <c r="P41" s="17"/>
      <c r="Q41" s="17"/>
      <c r="R41" s="17"/>
      <c r="S41" s="17"/>
      <c r="T41" s="17"/>
      <c r="U41" s="17"/>
      <c r="V41" s="17"/>
      <c r="W41" s="17"/>
      <c r="X41" s="17"/>
      <c r="Y41" s="17"/>
      <c r="Z41" s="17"/>
    </row>
    <row r="42" spans="1:26" ht="108.75" customHeight="1" x14ac:dyDescent="0.25">
      <c r="A42" s="11">
        <v>28</v>
      </c>
      <c r="B42" s="12" t="s">
        <v>45</v>
      </c>
      <c r="C42" s="33" t="s">
        <v>18</v>
      </c>
      <c r="D42" s="33" t="s">
        <v>43</v>
      </c>
      <c r="E42" s="11" t="s">
        <v>20</v>
      </c>
      <c r="F42" s="14" t="s">
        <v>42</v>
      </c>
      <c r="G42" s="11" t="s">
        <v>482</v>
      </c>
      <c r="H42" s="11" t="s">
        <v>497</v>
      </c>
      <c r="I42" s="24" t="s">
        <v>17</v>
      </c>
      <c r="J42" s="13" t="s">
        <v>21</v>
      </c>
      <c r="K42" s="13">
        <v>6921.9</v>
      </c>
      <c r="L42" s="32">
        <v>129.46</v>
      </c>
      <c r="M42" s="15">
        <v>896115.96</v>
      </c>
      <c r="N42" s="15">
        <v>1003649.87</v>
      </c>
      <c r="O42" s="16" t="s">
        <v>32</v>
      </c>
      <c r="P42" s="23"/>
      <c r="Q42" s="17"/>
      <c r="R42" s="17"/>
      <c r="S42" s="17"/>
      <c r="T42" s="17"/>
      <c r="U42" s="17"/>
      <c r="V42" s="17"/>
      <c r="W42" s="17"/>
      <c r="X42" s="17"/>
      <c r="Y42" s="17"/>
      <c r="Z42" s="17"/>
    </row>
    <row r="43" spans="1:26" ht="97.5" customHeight="1" x14ac:dyDescent="0.25">
      <c r="A43" s="11">
        <v>29</v>
      </c>
      <c r="B43" s="12" t="s">
        <v>45</v>
      </c>
      <c r="C43" s="29" t="s">
        <v>18</v>
      </c>
      <c r="D43" s="29" t="s">
        <v>19</v>
      </c>
      <c r="E43" s="11" t="s">
        <v>20</v>
      </c>
      <c r="F43" s="14" t="s">
        <v>42</v>
      </c>
      <c r="G43" s="11" t="s">
        <v>482</v>
      </c>
      <c r="H43" s="11" t="s">
        <v>497</v>
      </c>
      <c r="I43" s="24" t="s">
        <v>17</v>
      </c>
      <c r="J43" s="13" t="s">
        <v>21</v>
      </c>
      <c r="K43" s="13">
        <v>10501.2</v>
      </c>
      <c r="L43" s="32">
        <v>91.07</v>
      </c>
      <c r="M43" s="15">
        <v>956348.2</v>
      </c>
      <c r="N43" s="15">
        <v>1071110</v>
      </c>
      <c r="O43" s="16" t="s">
        <v>32</v>
      </c>
      <c r="P43" s="17"/>
      <c r="Q43" s="17"/>
      <c r="R43" s="17"/>
      <c r="S43" s="17"/>
      <c r="T43" s="17"/>
      <c r="U43" s="17"/>
      <c r="V43" s="17"/>
      <c r="W43" s="17"/>
      <c r="X43" s="17"/>
      <c r="Y43" s="17"/>
      <c r="Z43" s="17"/>
    </row>
    <row r="44" spans="1:26" ht="81.75" customHeight="1" x14ac:dyDescent="0.25">
      <c r="A44" s="11">
        <v>30</v>
      </c>
      <c r="B44" s="12" t="s">
        <v>45</v>
      </c>
      <c r="C44" s="33" t="s">
        <v>18</v>
      </c>
      <c r="D44" s="33" t="s">
        <v>43</v>
      </c>
      <c r="E44" s="11" t="s">
        <v>20</v>
      </c>
      <c r="F44" s="14" t="s">
        <v>42</v>
      </c>
      <c r="G44" s="11" t="s">
        <v>482</v>
      </c>
      <c r="H44" s="11" t="s">
        <v>137</v>
      </c>
      <c r="I44" s="24" t="s">
        <v>17</v>
      </c>
      <c r="J44" s="13" t="s">
        <v>21</v>
      </c>
      <c r="K44" s="13">
        <v>1895.57</v>
      </c>
      <c r="L44" s="32">
        <v>129.46</v>
      </c>
      <c r="M44" s="15">
        <v>245400.49</v>
      </c>
      <c r="N44" s="15">
        <v>274839</v>
      </c>
      <c r="O44" s="16" t="s">
        <v>32</v>
      </c>
      <c r="P44" s="17"/>
      <c r="Q44" s="17"/>
      <c r="R44" s="17"/>
      <c r="S44" s="17"/>
      <c r="T44" s="17"/>
      <c r="U44" s="17"/>
      <c r="V44" s="17"/>
      <c r="W44" s="17"/>
      <c r="X44" s="17"/>
      <c r="Y44" s="17"/>
      <c r="Z44" s="17"/>
    </row>
    <row r="45" spans="1:26" ht="81.75" customHeight="1" x14ac:dyDescent="0.25">
      <c r="A45" s="11">
        <v>31</v>
      </c>
      <c r="B45" s="12" t="s">
        <v>45</v>
      </c>
      <c r="C45" s="29" t="s">
        <v>18</v>
      </c>
      <c r="D45" s="29" t="s">
        <v>19</v>
      </c>
      <c r="E45" s="11" t="s">
        <v>20</v>
      </c>
      <c r="F45" s="14" t="s">
        <v>42</v>
      </c>
      <c r="G45" s="11" t="s">
        <v>482</v>
      </c>
      <c r="H45" s="11" t="s">
        <v>137</v>
      </c>
      <c r="I45" s="24" t="s">
        <v>17</v>
      </c>
      <c r="J45" s="13" t="s">
        <v>21</v>
      </c>
      <c r="K45" s="13">
        <v>5167.54</v>
      </c>
      <c r="L45" s="32">
        <v>91.07</v>
      </c>
      <c r="M45" s="15">
        <v>470608</v>
      </c>
      <c r="N45" s="15">
        <v>527081</v>
      </c>
      <c r="O45" s="16" t="s">
        <v>32</v>
      </c>
      <c r="P45" s="17"/>
      <c r="Q45" s="17"/>
      <c r="R45" s="17"/>
      <c r="S45" s="17"/>
      <c r="T45" s="17"/>
      <c r="U45" s="17"/>
      <c r="V45" s="17"/>
      <c r="W45" s="17"/>
      <c r="X45" s="17"/>
      <c r="Y45" s="17"/>
      <c r="Z45" s="17"/>
    </row>
    <row r="46" spans="1:26" ht="81.75" customHeight="1" x14ac:dyDescent="0.25">
      <c r="A46" s="11">
        <v>32</v>
      </c>
      <c r="B46" s="12" t="s">
        <v>45</v>
      </c>
      <c r="C46" s="29" t="s">
        <v>18</v>
      </c>
      <c r="D46" s="29" t="s">
        <v>19</v>
      </c>
      <c r="E46" s="11" t="s">
        <v>20</v>
      </c>
      <c r="F46" s="14" t="s">
        <v>42</v>
      </c>
      <c r="G46" s="11" t="s">
        <v>482</v>
      </c>
      <c r="H46" s="14" t="s">
        <v>195</v>
      </c>
      <c r="I46" s="24" t="s">
        <v>17</v>
      </c>
      <c r="J46" s="13" t="s">
        <v>21</v>
      </c>
      <c r="K46" s="13">
        <v>2780</v>
      </c>
      <c r="L46" s="13">
        <v>150</v>
      </c>
      <c r="M46" s="15">
        <f t="shared" ref="M46" si="10">L46*K46</f>
        <v>417000</v>
      </c>
      <c r="N46" s="15">
        <f>M46*1.12</f>
        <v>467040.00000000006</v>
      </c>
      <c r="O46" s="16" t="s">
        <v>32</v>
      </c>
      <c r="P46" s="17"/>
      <c r="Q46" s="17"/>
      <c r="R46" s="17"/>
      <c r="S46" s="17"/>
      <c r="T46" s="17"/>
      <c r="U46" s="17"/>
      <c r="V46" s="17"/>
      <c r="W46" s="17"/>
      <c r="X46" s="17"/>
      <c r="Y46" s="17"/>
      <c r="Z46" s="17"/>
    </row>
    <row r="47" spans="1:26" ht="81.75" customHeight="1" x14ac:dyDescent="0.25">
      <c r="A47" s="11">
        <v>33</v>
      </c>
      <c r="B47" s="12" t="s">
        <v>45</v>
      </c>
      <c r="C47" s="29" t="s">
        <v>18</v>
      </c>
      <c r="D47" s="29" t="s">
        <v>19</v>
      </c>
      <c r="E47" s="13" t="s">
        <v>24</v>
      </c>
      <c r="F47" s="14" t="s">
        <v>42</v>
      </c>
      <c r="G47" s="11" t="s">
        <v>482</v>
      </c>
      <c r="H47" s="11" t="s">
        <v>498</v>
      </c>
      <c r="I47" s="24" t="s">
        <v>17</v>
      </c>
      <c r="J47" s="13" t="s">
        <v>21</v>
      </c>
      <c r="K47" s="18">
        <v>114452</v>
      </c>
      <c r="L47" s="32">
        <v>91.07</v>
      </c>
      <c r="M47" s="15">
        <f>K47*L47</f>
        <v>10423143.639999999</v>
      </c>
      <c r="N47" s="34">
        <f t="shared" ref="N47:N48" si="11">M47*1.12</f>
        <v>11673920.876799999</v>
      </c>
      <c r="O47" s="16" t="s">
        <v>32</v>
      </c>
      <c r="P47" s="17"/>
      <c r="Q47" s="17"/>
      <c r="R47" s="17"/>
      <c r="S47" s="17"/>
      <c r="T47" s="17"/>
      <c r="U47" s="17"/>
      <c r="V47" s="17"/>
      <c r="W47" s="17"/>
      <c r="X47" s="17"/>
      <c r="Y47" s="17"/>
      <c r="Z47" s="17"/>
    </row>
    <row r="48" spans="1:26" ht="81.75" customHeight="1" x14ac:dyDescent="0.25">
      <c r="A48" s="11">
        <v>34</v>
      </c>
      <c r="B48" s="12" t="s">
        <v>45</v>
      </c>
      <c r="C48" s="33" t="s">
        <v>18</v>
      </c>
      <c r="D48" s="33" t="s">
        <v>43</v>
      </c>
      <c r="E48" s="13" t="s">
        <v>24</v>
      </c>
      <c r="F48" s="14" t="s">
        <v>42</v>
      </c>
      <c r="G48" s="11" t="s">
        <v>482</v>
      </c>
      <c r="H48" s="11" t="s">
        <v>498</v>
      </c>
      <c r="I48" s="24" t="s">
        <v>17</v>
      </c>
      <c r="J48" s="13" t="s">
        <v>21</v>
      </c>
      <c r="K48" s="35">
        <v>68500</v>
      </c>
      <c r="L48" s="32">
        <v>138.38999999999999</v>
      </c>
      <c r="M48" s="15">
        <f t="shared" ref="M48" si="12">K48*L48</f>
        <v>9479714.9999999981</v>
      </c>
      <c r="N48" s="34">
        <f t="shared" si="11"/>
        <v>10617280.799999999</v>
      </c>
      <c r="O48" s="16" t="s">
        <v>32</v>
      </c>
      <c r="P48" s="17"/>
      <c r="Q48" s="17"/>
      <c r="R48" s="17"/>
      <c r="S48" s="17"/>
      <c r="T48" s="17"/>
      <c r="U48" s="17"/>
      <c r="V48" s="17"/>
      <c r="W48" s="17"/>
      <c r="X48" s="17"/>
      <c r="Y48" s="17"/>
      <c r="Z48" s="17"/>
    </row>
    <row r="49" spans="1:26" ht="81.75" customHeight="1" x14ac:dyDescent="0.25">
      <c r="A49" s="11">
        <v>35</v>
      </c>
      <c r="B49" s="12" t="s">
        <v>45</v>
      </c>
      <c r="C49" s="29" t="s">
        <v>18</v>
      </c>
      <c r="D49" s="33" t="s">
        <v>491</v>
      </c>
      <c r="E49" s="11" t="s">
        <v>20</v>
      </c>
      <c r="F49" s="14" t="s">
        <v>42</v>
      </c>
      <c r="G49" s="11" t="s">
        <v>482</v>
      </c>
      <c r="H49" s="11" t="s">
        <v>505</v>
      </c>
      <c r="I49" s="24" t="s">
        <v>17</v>
      </c>
      <c r="J49" s="13" t="s">
        <v>21</v>
      </c>
      <c r="K49" s="15">
        <f>M49/L49</f>
        <v>2572.4137931034484</v>
      </c>
      <c r="L49" s="32">
        <v>145</v>
      </c>
      <c r="M49" s="15">
        <v>373000</v>
      </c>
      <c r="N49" s="15">
        <v>417760</v>
      </c>
      <c r="O49" s="13" t="s">
        <v>32</v>
      </c>
      <c r="P49" s="17"/>
      <c r="Q49" s="17"/>
      <c r="R49" s="17"/>
      <c r="S49" s="17"/>
      <c r="T49" s="17"/>
      <c r="U49" s="17"/>
      <c r="V49" s="17"/>
      <c r="W49" s="17"/>
      <c r="X49" s="17"/>
      <c r="Y49" s="17"/>
      <c r="Z49" s="17"/>
    </row>
    <row r="50" spans="1:26" ht="107.25" customHeight="1" x14ac:dyDescent="0.25">
      <c r="A50" s="11">
        <v>36</v>
      </c>
      <c r="B50" s="12" t="s">
        <v>45</v>
      </c>
      <c r="C50" s="29" t="s">
        <v>18</v>
      </c>
      <c r="D50" s="29" t="s">
        <v>19</v>
      </c>
      <c r="E50" s="11" t="s">
        <v>20</v>
      </c>
      <c r="F50" s="14" t="s">
        <v>42</v>
      </c>
      <c r="G50" s="11" t="s">
        <v>482</v>
      </c>
      <c r="H50" s="14" t="s">
        <v>324</v>
      </c>
      <c r="I50" s="11" t="s">
        <v>41</v>
      </c>
      <c r="J50" s="13" t="s">
        <v>21</v>
      </c>
      <c r="K50" s="13">
        <v>6434</v>
      </c>
      <c r="L50" s="32">
        <v>97.88</v>
      </c>
      <c r="M50" s="36">
        <f>L50*K50</f>
        <v>629759.91999999993</v>
      </c>
      <c r="N50" s="27">
        <f t="shared" ref="N50" si="13">M50*1.12</f>
        <v>705331.11040000001</v>
      </c>
      <c r="O50" s="13" t="s">
        <v>32</v>
      </c>
      <c r="P50" s="23"/>
      <c r="Q50" s="17"/>
      <c r="R50" s="17"/>
      <c r="S50" s="17"/>
      <c r="T50" s="17"/>
      <c r="U50" s="17"/>
      <c r="V50" s="17"/>
      <c r="W50" s="17"/>
      <c r="X50" s="17"/>
      <c r="Y50" s="17"/>
      <c r="Z50" s="17"/>
    </row>
    <row r="51" spans="1:26" ht="114" customHeight="1" x14ac:dyDescent="0.25">
      <c r="A51" s="11">
        <v>37</v>
      </c>
      <c r="B51" s="12" t="s">
        <v>45</v>
      </c>
      <c r="C51" s="33" t="s">
        <v>18</v>
      </c>
      <c r="D51" s="33" t="s">
        <v>43</v>
      </c>
      <c r="E51" s="11" t="s">
        <v>20</v>
      </c>
      <c r="F51" s="14" t="s">
        <v>42</v>
      </c>
      <c r="G51" s="11" t="s">
        <v>482</v>
      </c>
      <c r="H51" s="14" t="s">
        <v>324</v>
      </c>
      <c r="I51" s="11" t="s">
        <v>41</v>
      </c>
      <c r="J51" s="13" t="s">
        <v>21</v>
      </c>
      <c r="K51" s="13">
        <v>6600</v>
      </c>
      <c r="L51" s="32">
        <v>137.94</v>
      </c>
      <c r="M51" s="36">
        <v>910446.42</v>
      </c>
      <c r="N51" s="27">
        <v>1019700</v>
      </c>
      <c r="O51" s="13" t="s">
        <v>32</v>
      </c>
      <c r="P51" s="17"/>
      <c r="Q51" s="17"/>
      <c r="R51" s="17"/>
      <c r="S51" s="17"/>
      <c r="T51" s="17"/>
      <c r="U51" s="17"/>
      <c r="V51" s="17"/>
      <c r="W51" s="17"/>
      <c r="X51" s="17"/>
      <c r="Y51" s="17"/>
      <c r="Z51" s="17"/>
    </row>
    <row r="52" spans="1:26" ht="116.25" customHeight="1" x14ac:dyDescent="0.25">
      <c r="A52" s="11">
        <v>38</v>
      </c>
      <c r="B52" s="12" t="s">
        <v>45</v>
      </c>
      <c r="C52" s="33" t="s">
        <v>18</v>
      </c>
      <c r="D52" s="33" t="s">
        <v>43</v>
      </c>
      <c r="E52" s="11" t="s">
        <v>20</v>
      </c>
      <c r="F52" s="14" t="s">
        <v>42</v>
      </c>
      <c r="G52" s="11" t="s">
        <v>482</v>
      </c>
      <c r="H52" s="13" t="s">
        <v>196</v>
      </c>
      <c r="I52" s="11" t="s">
        <v>41</v>
      </c>
      <c r="J52" s="13" t="s">
        <v>21</v>
      </c>
      <c r="K52" s="18">
        <v>48100</v>
      </c>
      <c r="L52" s="15">
        <v>142</v>
      </c>
      <c r="M52" s="15">
        <f>K52*L52</f>
        <v>6830200</v>
      </c>
      <c r="N52" s="15">
        <f t="shared" ref="N52:N58" si="14">M52*1.12</f>
        <v>7649824.0000000009</v>
      </c>
      <c r="O52" s="13" t="s">
        <v>32</v>
      </c>
      <c r="P52" s="17"/>
      <c r="Q52" s="17"/>
      <c r="R52" s="17"/>
      <c r="S52" s="17"/>
      <c r="T52" s="17"/>
      <c r="U52" s="17"/>
      <c r="V52" s="17"/>
      <c r="W52" s="17"/>
      <c r="X52" s="17"/>
      <c r="Y52" s="17"/>
      <c r="Z52" s="17"/>
    </row>
    <row r="53" spans="1:26" ht="116.25" customHeight="1" x14ac:dyDescent="0.25">
      <c r="A53" s="11">
        <v>39</v>
      </c>
      <c r="B53" s="12" t="s">
        <v>45</v>
      </c>
      <c r="C53" s="29" t="s">
        <v>18</v>
      </c>
      <c r="D53" s="29" t="s">
        <v>19</v>
      </c>
      <c r="E53" s="11" t="s">
        <v>20</v>
      </c>
      <c r="F53" s="14" t="s">
        <v>42</v>
      </c>
      <c r="G53" s="11" t="s">
        <v>482</v>
      </c>
      <c r="H53" s="13" t="s">
        <v>196</v>
      </c>
      <c r="I53" s="11" t="s">
        <v>41</v>
      </c>
      <c r="J53" s="13" t="s">
        <v>21</v>
      </c>
      <c r="K53" s="18">
        <v>48100</v>
      </c>
      <c r="L53" s="15">
        <v>118</v>
      </c>
      <c r="M53" s="15">
        <f>K53*L53</f>
        <v>5675800</v>
      </c>
      <c r="N53" s="15">
        <f t="shared" si="14"/>
        <v>6356896.0000000009</v>
      </c>
      <c r="O53" s="13" t="s">
        <v>32</v>
      </c>
      <c r="P53" s="17"/>
      <c r="Q53" s="17"/>
      <c r="R53" s="17"/>
      <c r="S53" s="17"/>
      <c r="T53" s="17"/>
      <c r="U53" s="17"/>
      <c r="V53" s="17"/>
      <c r="W53" s="17"/>
      <c r="X53" s="17"/>
      <c r="Y53" s="17"/>
      <c r="Z53" s="17"/>
    </row>
    <row r="54" spans="1:26" ht="123.75" customHeight="1" x14ac:dyDescent="0.25">
      <c r="A54" s="11">
        <v>40</v>
      </c>
      <c r="B54" s="12" t="s">
        <v>45</v>
      </c>
      <c r="C54" s="29" t="s">
        <v>18</v>
      </c>
      <c r="D54" s="29" t="s">
        <v>19</v>
      </c>
      <c r="E54" s="11" t="s">
        <v>20</v>
      </c>
      <c r="F54" s="14" t="s">
        <v>42</v>
      </c>
      <c r="G54" s="11" t="s">
        <v>482</v>
      </c>
      <c r="H54" s="11" t="s">
        <v>499</v>
      </c>
      <c r="I54" s="24" t="s">
        <v>17</v>
      </c>
      <c r="J54" s="13" t="s">
        <v>21</v>
      </c>
      <c r="K54" s="35">
        <v>7960</v>
      </c>
      <c r="L54" s="32">
        <v>91.07</v>
      </c>
      <c r="M54" s="15">
        <f>K54*L54</f>
        <v>724917.2</v>
      </c>
      <c r="N54" s="16">
        <f t="shared" si="14"/>
        <v>811907.26400000008</v>
      </c>
      <c r="O54" s="13" t="s">
        <v>32</v>
      </c>
      <c r="P54" s="17"/>
      <c r="Q54" s="17"/>
      <c r="R54" s="17"/>
      <c r="S54" s="17"/>
      <c r="T54" s="17"/>
      <c r="U54" s="17"/>
      <c r="V54" s="17"/>
      <c r="W54" s="17"/>
      <c r="X54" s="17"/>
      <c r="Y54" s="17"/>
      <c r="Z54" s="17"/>
    </row>
    <row r="55" spans="1:26" ht="153" customHeight="1" x14ac:dyDescent="0.25">
      <c r="A55" s="11">
        <v>41</v>
      </c>
      <c r="B55" s="12" t="s">
        <v>45</v>
      </c>
      <c r="C55" s="33" t="s">
        <v>18</v>
      </c>
      <c r="D55" s="33" t="s">
        <v>43</v>
      </c>
      <c r="E55" s="11" t="s">
        <v>20</v>
      </c>
      <c r="F55" s="14" t="s">
        <v>42</v>
      </c>
      <c r="G55" s="11" t="s">
        <v>482</v>
      </c>
      <c r="H55" s="11" t="s">
        <v>499</v>
      </c>
      <c r="I55" s="24" t="s">
        <v>17</v>
      </c>
      <c r="J55" s="13" t="s">
        <v>21</v>
      </c>
      <c r="K55" s="35">
        <v>5058</v>
      </c>
      <c r="L55" s="32">
        <v>138.38999999999999</v>
      </c>
      <c r="M55" s="15">
        <f t="shared" ref="M55" si="15">K55*L55</f>
        <v>699976.61999999988</v>
      </c>
      <c r="N55" s="16">
        <f t="shared" si="14"/>
        <v>783973.81439999992</v>
      </c>
      <c r="O55" s="13" t="s">
        <v>32</v>
      </c>
      <c r="P55" s="17"/>
      <c r="Q55" s="17"/>
      <c r="R55" s="17"/>
      <c r="S55" s="17"/>
      <c r="T55" s="17"/>
      <c r="U55" s="17"/>
      <c r="V55" s="17"/>
      <c r="W55" s="17"/>
      <c r="X55" s="17"/>
      <c r="Y55" s="17"/>
      <c r="Z55" s="17"/>
    </row>
    <row r="56" spans="1:26" ht="97.5" customHeight="1" x14ac:dyDescent="0.25">
      <c r="A56" s="11">
        <v>42</v>
      </c>
      <c r="B56" s="12" t="s">
        <v>45</v>
      </c>
      <c r="C56" s="29" t="s">
        <v>18</v>
      </c>
      <c r="D56" s="29" t="s">
        <v>19</v>
      </c>
      <c r="E56" s="11" t="s">
        <v>20</v>
      </c>
      <c r="F56" s="11" t="s">
        <v>42</v>
      </c>
      <c r="G56" s="11" t="s">
        <v>482</v>
      </c>
      <c r="H56" s="11" t="s">
        <v>509</v>
      </c>
      <c r="I56" s="24" t="s">
        <v>17</v>
      </c>
      <c r="J56" s="13" t="s">
        <v>21</v>
      </c>
      <c r="K56" s="13">
        <v>5127.24</v>
      </c>
      <c r="L56" s="32">
        <v>110</v>
      </c>
      <c r="M56" s="15">
        <f>L56*K56</f>
        <v>563996.4</v>
      </c>
      <c r="N56" s="15">
        <f t="shared" si="14"/>
        <v>631675.96800000011</v>
      </c>
      <c r="O56" s="13" t="s">
        <v>32</v>
      </c>
      <c r="P56" s="23"/>
      <c r="Q56" s="17"/>
      <c r="R56" s="17"/>
      <c r="S56" s="17"/>
      <c r="T56" s="17"/>
      <c r="U56" s="17"/>
      <c r="V56" s="17"/>
      <c r="W56" s="17"/>
      <c r="X56" s="17"/>
      <c r="Y56" s="17"/>
      <c r="Z56" s="17"/>
    </row>
    <row r="57" spans="1:26" ht="97.5" customHeight="1" x14ac:dyDescent="0.25">
      <c r="A57" s="11">
        <v>43</v>
      </c>
      <c r="B57" s="12" t="s">
        <v>45</v>
      </c>
      <c r="C57" s="33" t="s">
        <v>18</v>
      </c>
      <c r="D57" s="33" t="s">
        <v>43</v>
      </c>
      <c r="E57" s="11" t="s">
        <v>20</v>
      </c>
      <c r="F57" s="11" t="s">
        <v>42</v>
      </c>
      <c r="G57" s="11" t="s">
        <v>482</v>
      </c>
      <c r="H57" s="11" t="s">
        <v>509</v>
      </c>
      <c r="I57" s="24" t="s">
        <v>17</v>
      </c>
      <c r="J57" s="13" t="s">
        <v>21</v>
      </c>
      <c r="K57" s="13">
        <v>5127.24</v>
      </c>
      <c r="L57" s="32">
        <v>110</v>
      </c>
      <c r="M57" s="15">
        <f>L57*K57</f>
        <v>563996.4</v>
      </c>
      <c r="N57" s="15">
        <f t="shared" si="14"/>
        <v>631675.96800000011</v>
      </c>
      <c r="O57" s="13" t="s">
        <v>32</v>
      </c>
      <c r="P57" s="17"/>
      <c r="Q57" s="17"/>
      <c r="R57" s="17"/>
      <c r="S57" s="17"/>
      <c r="T57" s="17"/>
      <c r="U57" s="17"/>
      <c r="V57" s="17"/>
      <c r="W57" s="17"/>
      <c r="X57" s="17"/>
      <c r="Y57" s="17"/>
      <c r="Z57" s="17"/>
    </row>
    <row r="58" spans="1:26" ht="121.5" customHeight="1" x14ac:dyDescent="0.25">
      <c r="A58" s="11">
        <v>44</v>
      </c>
      <c r="B58" s="12" t="s">
        <v>45</v>
      </c>
      <c r="C58" s="33" t="s">
        <v>18</v>
      </c>
      <c r="D58" s="33" t="s">
        <v>43</v>
      </c>
      <c r="E58" s="13" t="s">
        <v>24</v>
      </c>
      <c r="F58" s="11" t="s">
        <v>42</v>
      </c>
      <c r="G58" s="11" t="s">
        <v>482</v>
      </c>
      <c r="H58" s="11" t="s">
        <v>510</v>
      </c>
      <c r="I58" s="24" t="s">
        <v>17</v>
      </c>
      <c r="J58" s="13" t="s">
        <v>21</v>
      </c>
      <c r="K58" s="13">
        <v>21000</v>
      </c>
      <c r="L58" s="32">
        <v>102</v>
      </c>
      <c r="M58" s="15">
        <f>L58*K58</f>
        <v>2142000</v>
      </c>
      <c r="N58" s="15">
        <f t="shared" si="14"/>
        <v>2399040</v>
      </c>
      <c r="O58" s="13" t="s">
        <v>32</v>
      </c>
      <c r="P58" s="17"/>
      <c r="Q58" s="17"/>
      <c r="R58" s="17"/>
      <c r="S58" s="17"/>
      <c r="T58" s="17"/>
      <c r="U58" s="17"/>
      <c r="V58" s="17"/>
      <c r="W58" s="17"/>
      <c r="X58" s="17"/>
      <c r="Y58" s="17"/>
      <c r="Z58" s="17"/>
    </row>
    <row r="59" spans="1:26" ht="121.5" customHeight="1" x14ac:dyDescent="0.25">
      <c r="A59" s="11">
        <v>45</v>
      </c>
      <c r="B59" s="12" t="s">
        <v>45</v>
      </c>
      <c r="C59" s="33" t="s">
        <v>22</v>
      </c>
      <c r="D59" s="33" t="s">
        <v>23</v>
      </c>
      <c r="E59" s="11" t="s">
        <v>20</v>
      </c>
      <c r="F59" s="14" t="s">
        <v>42</v>
      </c>
      <c r="G59" s="11" t="s">
        <v>482</v>
      </c>
      <c r="H59" s="11" t="s">
        <v>494</v>
      </c>
      <c r="I59" s="24" t="s">
        <v>17</v>
      </c>
      <c r="J59" s="13" t="s">
        <v>21</v>
      </c>
      <c r="K59" s="18">
        <v>44442</v>
      </c>
      <c r="L59" s="15">
        <v>131.61000000000001</v>
      </c>
      <c r="M59" s="15">
        <f t="shared" ref="M59:M60" si="16">L59*K59</f>
        <v>5849011.620000001</v>
      </c>
      <c r="N59" s="15">
        <f t="shared" ref="N59:N60" si="17">M59*1.12</f>
        <v>6550893.0144000016</v>
      </c>
      <c r="O59" s="16" t="s">
        <v>32</v>
      </c>
      <c r="P59" s="17"/>
      <c r="Q59" s="17"/>
      <c r="R59" s="17"/>
      <c r="S59" s="17"/>
      <c r="T59" s="17"/>
      <c r="U59" s="17"/>
      <c r="V59" s="17"/>
      <c r="W59" s="17"/>
      <c r="X59" s="17"/>
      <c r="Y59" s="17"/>
      <c r="Z59" s="17"/>
    </row>
    <row r="60" spans="1:26" ht="119.25" customHeight="1" x14ac:dyDescent="0.25">
      <c r="A60" s="11">
        <v>46</v>
      </c>
      <c r="B60" s="12" t="s">
        <v>45</v>
      </c>
      <c r="C60" s="33" t="s">
        <v>22</v>
      </c>
      <c r="D60" s="33" t="s">
        <v>44</v>
      </c>
      <c r="E60" s="11" t="s">
        <v>20</v>
      </c>
      <c r="F60" s="14" t="s">
        <v>42</v>
      </c>
      <c r="G60" s="11" t="s">
        <v>482</v>
      </c>
      <c r="H60" s="11" t="s">
        <v>494</v>
      </c>
      <c r="I60" s="24" t="s">
        <v>17</v>
      </c>
      <c r="J60" s="13" t="s">
        <v>21</v>
      </c>
      <c r="K60" s="18">
        <v>21565</v>
      </c>
      <c r="L60" s="15">
        <v>127.78</v>
      </c>
      <c r="M60" s="15">
        <f t="shared" si="16"/>
        <v>2755575.7</v>
      </c>
      <c r="N60" s="15">
        <f t="shared" si="17"/>
        <v>3086244.7840000005</v>
      </c>
      <c r="O60" s="16" t="s">
        <v>32</v>
      </c>
      <c r="P60" s="17"/>
      <c r="Q60" s="17"/>
      <c r="R60" s="17"/>
      <c r="S60" s="17"/>
      <c r="T60" s="17"/>
      <c r="U60" s="17"/>
      <c r="V60" s="17"/>
      <c r="W60" s="17"/>
      <c r="X60" s="17"/>
      <c r="Y60" s="17"/>
      <c r="Z60" s="17"/>
    </row>
    <row r="61" spans="1:26" ht="81.75" customHeight="1" x14ac:dyDescent="0.25">
      <c r="A61" s="11">
        <v>47</v>
      </c>
      <c r="B61" s="12" t="s">
        <v>45</v>
      </c>
      <c r="C61" s="33" t="s">
        <v>22</v>
      </c>
      <c r="D61" s="33" t="s">
        <v>23</v>
      </c>
      <c r="E61" s="11" t="s">
        <v>20</v>
      </c>
      <c r="F61" s="14" t="s">
        <v>42</v>
      </c>
      <c r="G61" s="11" t="s">
        <v>482</v>
      </c>
      <c r="H61" s="11" t="s">
        <v>496</v>
      </c>
      <c r="I61" s="24" t="s">
        <v>17</v>
      </c>
      <c r="J61" s="13" t="s">
        <v>21</v>
      </c>
      <c r="K61" s="15">
        <v>1522.27</v>
      </c>
      <c r="L61" s="15">
        <v>79.459999999999994</v>
      </c>
      <c r="M61" s="15">
        <v>120960</v>
      </c>
      <c r="N61" s="15">
        <f>M61*1.12</f>
        <v>135475.20000000001</v>
      </c>
      <c r="O61" s="16" t="s">
        <v>32</v>
      </c>
      <c r="P61" s="17"/>
      <c r="Q61" s="17"/>
      <c r="R61" s="17"/>
      <c r="S61" s="17"/>
      <c r="T61" s="17"/>
      <c r="U61" s="17"/>
      <c r="V61" s="17"/>
      <c r="W61" s="17"/>
      <c r="X61" s="17"/>
      <c r="Y61" s="17"/>
      <c r="Z61" s="17"/>
    </row>
    <row r="62" spans="1:26" ht="102" customHeight="1" x14ac:dyDescent="0.25">
      <c r="A62" s="11">
        <v>48</v>
      </c>
      <c r="B62" s="12" t="s">
        <v>45</v>
      </c>
      <c r="C62" s="33" t="s">
        <v>22</v>
      </c>
      <c r="D62" s="33" t="s">
        <v>44</v>
      </c>
      <c r="E62" s="11" t="s">
        <v>20</v>
      </c>
      <c r="F62" s="14" t="s">
        <v>42</v>
      </c>
      <c r="G62" s="11" t="s">
        <v>482</v>
      </c>
      <c r="H62" s="11" t="s">
        <v>497</v>
      </c>
      <c r="I62" s="24" t="s">
        <v>17</v>
      </c>
      <c r="J62" s="13" t="s">
        <v>21</v>
      </c>
      <c r="K62" s="13">
        <v>9345.0300000000007</v>
      </c>
      <c r="L62" s="32">
        <v>102.67</v>
      </c>
      <c r="M62" s="15">
        <v>959534.33</v>
      </c>
      <c r="N62" s="15">
        <v>1074678</v>
      </c>
      <c r="O62" s="16" t="s">
        <v>32</v>
      </c>
      <c r="P62" s="17"/>
      <c r="Q62" s="17"/>
      <c r="R62" s="17"/>
      <c r="S62" s="17"/>
      <c r="T62" s="17"/>
      <c r="U62" s="17"/>
      <c r="V62" s="17"/>
      <c r="W62" s="17"/>
      <c r="X62" s="17"/>
      <c r="Y62" s="17"/>
      <c r="Z62" s="17"/>
    </row>
    <row r="63" spans="1:26" ht="81.75" customHeight="1" x14ac:dyDescent="0.25">
      <c r="A63" s="11">
        <v>49</v>
      </c>
      <c r="B63" s="12" t="s">
        <v>45</v>
      </c>
      <c r="C63" s="33" t="s">
        <v>22</v>
      </c>
      <c r="D63" s="33" t="s">
        <v>23</v>
      </c>
      <c r="E63" s="11" t="s">
        <v>20</v>
      </c>
      <c r="F63" s="14" t="s">
        <v>42</v>
      </c>
      <c r="G63" s="11" t="s">
        <v>482</v>
      </c>
      <c r="H63" s="14" t="s">
        <v>195</v>
      </c>
      <c r="I63" s="24" t="s">
        <v>17</v>
      </c>
      <c r="J63" s="13" t="s">
        <v>21</v>
      </c>
      <c r="K63" s="18">
        <v>1470</v>
      </c>
      <c r="L63" s="32">
        <v>100</v>
      </c>
      <c r="M63" s="15">
        <f>K63*L63</f>
        <v>147000</v>
      </c>
      <c r="N63" s="15">
        <f t="shared" ref="N63:N68" si="18">M63*1.12</f>
        <v>164640.00000000003</v>
      </c>
      <c r="O63" s="16" t="s">
        <v>32</v>
      </c>
      <c r="P63" s="17"/>
      <c r="Q63" s="17"/>
      <c r="R63" s="17"/>
      <c r="S63" s="17"/>
      <c r="T63" s="17"/>
      <c r="U63" s="17"/>
      <c r="V63" s="17"/>
      <c r="W63" s="17"/>
      <c r="X63" s="17"/>
      <c r="Y63" s="17"/>
      <c r="Z63" s="17"/>
    </row>
    <row r="64" spans="1:26" ht="129" customHeight="1" x14ac:dyDescent="0.25">
      <c r="A64" s="11">
        <v>50</v>
      </c>
      <c r="B64" s="12" t="s">
        <v>45</v>
      </c>
      <c r="C64" s="33" t="s">
        <v>22</v>
      </c>
      <c r="D64" s="33" t="s">
        <v>23</v>
      </c>
      <c r="E64" s="11" t="s">
        <v>20</v>
      </c>
      <c r="F64" s="14" t="s">
        <v>42</v>
      </c>
      <c r="G64" s="11" t="s">
        <v>482</v>
      </c>
      <c r="H64" s="14" t="s">
        <v>508</v>
      </c>
      <c r="I64" s="11" t="s">
        <v>41</v>
      </c>
      <c r="J64" s="13" t="s">
        <v>21</v>
      </c>
      <c r="K64" s="13">
        <v>180</v>
      </c>
      <c r="L64" s="37">
        <v>86.125</v>
      </c>
      <c r="M64" s="36">
        <f t="shared" ref="M64" si="19">K64*L64</f>
        <v>15502.5</v>
      </c>
      <c r="N64" s="27">
        <f>M64*1.12</f>
        <v>17362.800000000003</v>
      </c>
      <c r="O64" s="13" t="s">
        <v>32</v>
      </c>
      <c r="P64" s="17"/>
      <c r="Q64" s="17"/>
      <c r="R64" s="17"/>
      <c r="S64" s="17"/>
      <c r="T64" s="17"/>
      <c r="U64" s="17"/>
      <c r="V64" s="17"/>
      <c r="W64" s="17"/>
      <c r="X64" s="17"/>
      <c r="Y64" s="17"/>
      <c r="Z64" s="17"/>
    </row>
    <row r="65" spans="1:26" ht="78" customHeight="1" x14ac:dyDescent="0.25">
      <c r="A65" s="11">
        <v>51</v>
      </c>
      <c r="B65" s="12" t="s">
        <v>45</v>
      </c>
      <c r="C65" s="33" t="s">
        <v>22</v>
      </c>
      <c r="D65" s="33" t="s">
        <v>44</v>
      </c>
      <c r="E65" s="11" t="s">
        <v>20</v>
      </c>
      <c r="F65" s="14" t="s">
        <v>42</v>
      </c>
      <c r="G65" s="11" t="s">
        <v>482</v>
      </c>
      <c r="H65" s="14" t="s">
        <v>195</v>
      </c>
      <c r="I65" s="24" t="s">
        <v>17</v>
      </c>
      <c r="J65" s="13" t="s">
        <v>21</v>
      </c>
      <c r="K65" s="13">
        <v>2400</v>
      </c>
      <c r="L65" s="32">
        <v>120</v>
      </c>
      <c r="M65" s="15">
        <f>K65*L65</f>
        <v>288000</v>
      </c>
      <c r="N65" s="15">
        <f t="shared" si="18"/>
        <v>322560.00000000006</v>
      </c>
      <c r="O65" s="16" t="s">
        <v>32</v>
      </c>
      <c r="P65" s="17"/>
      <c r="Q65" s="17"/>
      <c r="R65" s="17"/>
      <c r="S65" s="17"/>
      <c r="T65" s="17"/>
      <c r="U65" s="17"/>
      <c r="V65" s="17"/>
      <c r="W65" s="17"/>
      <c r="X65" s="17"/>
      <c r="Y65" s="17"/>
      <c r="Z65" s="17"/>
    </row>
    <row r="66" spans="1:26" ht="114" customHeight="1" x14ac:dyDescent="0.25">
      <c r="A66" s="11">
        <v>52</v>
      </c>
      <c r="B66" s="12" t="s">
        <v>45</v>
      </c>
      <c r="C66" s="33" t="s">
        <v>22</v>
      </c>
      <c r="D66" s="33" t="s">
        <v>23</v>
      </c>
      <c r="E66" s="13" t="s">
        <v>20</v>
      </c>
      <c r="F66" s="14" t="s">
        <v>42</v>
      </c>
      <c r="G66" s="11" t="s">
        <v>482</v>
      </c>
      <c r="H66" s="11" t="s">
        <v>498</v>
      </c>
      <c r="I66" s="24" t="s">
        <v>17</v>
      </c>
      <c r="J66" s="13" t="s">
        <v>21</v>
      </c>
      <c r="K66" s="18">
        <v>8200</v>
      </c>
      <c r="L66" s="32">
        <v>95</v>
      </c>
      <c r="M66" s="15">
        <f t="shared" ref="M66:M68" si="20">K66*L66</f>
        <v>779000</v>
      </c>
      <c r="N66" s="16">
        <f t="shared" si="18"/>
        <v>872480.00000000012</v>
      </c>
      <c r="O66" s="16" t="s">
        <v>32</v>
      </c>
      <c r="P66" s="17"/>
      <c r="Q66" s="17"/>
      <c r="R66" s="17"/>
      <c r="S66" s="17"/>
      <c r="T66" s="17"/>
      <c r="U66" s="17"/>
      <c r="V66" s="17"/>
      <c r="W66" s="17"/>
      <c r="X66" s="17"/>
      <c r="Y66" s="17"/>
      <c r="Z66" s="17"/>
    </row>
    <row r="67" spans="1:26" ht="65.25" customHeight="1" x14ac:dyDescent="0.25">
      <c r="A67" s="11">
        <v>53</v>
      </c>
      <c r="B67" s="12" t="s">
        <v>45</v>
      </c>
      <c r="C67" s="33" t="s">
        <v>22</v>
      </c>
      <c r="D67" s="33" t="s">
        <v>44</v>
      </c>
      <c r="E67" s="13" t="s">
        <v>24</v>
      </c>
      <c r="F67" s="14" t="s">
        <v>42</v>
      </c>
      <c r="G67" s="11" t="s">
        <v>482</v>
      </c>
      <c r="H67" s="11" t="s">
        <v>501</v>
      </c>
      <c r="I67" s="24" t="s">
        <v>17</v>
      </c>
      <c r="J67" s="13" t="s">
        <v>21</v>
      </c>
      <c r="K67" s="13">
        <v>66535</v>
      </c>
      <c r="L67" s="32">
        <v>112</v>
      </c>
      <c r="M67" s="15">
        <f t="shared" si="20"/>
        <v>7451920</v>
      </c>
      <c r="N67" s="15">
        <f t="shared" si="18"/>
        <v>8346150.4000000004</v>
      </c>
      <c r="O67" s="16" t="s">
        <v>32</v>
      </c>
      <c r="P67" s="17"/>
      <c r="Q67" s="17"/>
      <c r="R67" s="17"/>
      <c r="S67" s="17"/>
      <c r="T67" s="17"/>
      <c r="U67" s="17"/>
      <c r="V67" s="17"/>
      <c r="W67" s="17"/>
      <c r="X67" s="17"/>
      <c r="Y67" s="17"/>
      <c r="Z67" s="17"/>
    </row>
    <row r="68" spans="1:26" ht="79.5" customHeight="1" x14ac:dyDescent="0.25">
      <c r="A68" s="11">
        <v>54</v>
      </c>
      <c r="B68" s="12" t="s">
        <v>45</v>
      </c>
      <c r="C68" s="33" t="s">
        <v>22</v>
      </c>
      <c r="D68" s="33" t="s">
        <v>44</v>
      </c>
      <c r="E68" s="13" t="s">
        <v>20</v>
      </c>
      <c r="F68" s="14" t="s">
        <v>42</v>
      </c>
      <c r="G68" s="11" t="s">
        <v>482</v>
      </c>
      <c r="H68" s="11" t="s">
        <v>498</v>
      </c>
      <c r="I68" s="24" t="s">
        <v>17</v>
      </c>
      <c r="J68" s="13" t="s">
        <v>21</v>
      </c>
      <c r="K68" s="13">
        <v>5678</v>
      </c>
      <c r="L68" s="32">
        <v>112</v>
      </c>
      <c r="M68" s="15">
        <f t="shared" si="20"/>
        <v>635936</v>
      </c>
      <c r="N68" s="15">
        <f t="shared" si="18"/>
        <v>712248.32000000007</v>
      </c>
      <c r="O68" s="16" t="s">
        <v>32</v>
      </c>
      <c r="P68" s="17"/>
      <c r="Q68" s="17"/>
      <c r="R68" s="17"/>
      <c r="S68" s="17"/>
      <c r="T68" s="17"/>
      <c r="U68" s="17"/>
      <c r="V68" s="17"/>
      <c r="W68" s="17"/>
      <c r="X68" s="17"/>
      <c r="Y68" s="17"/>
      <c r="Z68" s="17"/>
    </row>
    <row r="69" spans="1:26" ht="114.75" customHeight="1" x14ac:dyDescent="0.25">
      <c r="A69" s="11">
        <v>55</v>
      </c>
      <c r="B69" s="12" t="s">
        <v>45</v>
      </c>
      <c r="C69" s="33" t="s">
        <v>22</v>
      </c>
      <c r="D69" s="33" t="s">
        <v>23</v>
      </c>
      <c r="E69" s="11" t="s">
        <v>20</v>
      </c>
      <c r="F69" s="14" t="s">
        <v>42</v>
      </c>
      <c r="G69" s="11" t="s">
        <v>482</v>
      </c>
      <c r="H69" s="20" t="s">
        <v>495</v>
      </c>
      <c r="I69" s="24" t="s">
        <v>17</v>
      </c>
      <c r="J69" s="13" t="s">
        <v>21</v>
      </c>
      <c r="K69" s="18">
        <v>3460</v>
      </c>
      <c r="L69" s="32">
        <v>84.23</v>
      </c>
      <c r="M69" s="15">
        <f>L69*K69</f>
        <v>291435.8</v>
      </c>
      <c r="N69" s="16">
        <f t="shared" ref="N69:N70" si="21">M69*1.12</f>
        <v>326408.09600000002</v>
      </c>
      <c r="O69" s="16" t="s">
        <v>32</v>
      </c>
      <c r="P69" s="17"/>
      <c r="Q69" s="17"/>
      <c r="R69" s="17"/>
      <c r="S69" s="17"/>
      <c r="T69" s="17"/>
      <c r="U69" s="17"/>
      <c r="V69" s="17"/>
      <c r="W69" s="17"/>
      <c r="X69" s="17"/>
      <c r="Y69" s="17"/>
      <c r="Z69" s="17"/>
    </row>
    <row r="70" spans="1:26" ht="104.25" customHeight="1" x14ac:dyDescent="0.25">
      <c r="A70" s="11">
        <v>56</v>
      </c>
      <c r="B70" s="12" t="s">
        <v>45</v>
      </c>
      <c r="C70" s="33" t="s">
        <v>22</v>
      </c>
      <c r="D70" s="33" t="s">
        <v>44</v>
      </c>
      <c r="E70" s="11" t="s">
        <v>20</v>
      </c>
      <c r="F70" s="14" t="s">
        <v>42</v>
      </c>
      <c r="G70" s="11" t="s">
        <v>482</v>
      </c>
      <c r="H70" s="20" t="s">
        <v>495</v>
      </c>
      <c r="I70" s="24" t="s">
        <v>17</v>
      </c>
      <c r="J70" s="13" t="s">
        <v>21</v>
      </c>
      <c r="K70" s="13">
        <v>5190</v>
      </c>
      <c r="L70" s="32">
        <v>104.1</v>
      </c>
      <c r="M70" s="15">
        <v>540292</v>
      </c>
      <c r="N70" s="15">
        <f t="shared" si="21"/>
        <v>605127.04</v>
      </c>
      <c r="O70" s="16" t="s">
        <v>32</v>
      </c>
      <c r="P70" s="17"/>
      <c r="Q70" s="17"/>
      <c r="R70" s="17"/>
      <c r="S70" s="17"/>
      <c r="T70" s="17"/>
      <c r="U70" s="17"/>
      <c r="V70" s="17"/>
      <c r="W70" s="17"/>
      <c r="X70" s="17"/>
      <c r="Y70" s="17"/>
      <c r="Z70" s="17"/>
    </row>
    <row r="71" spans="1:26" ht="118.5" customHeight="1" x14ac:dyDescent="0.25">
      <c r="A71" s="11">
        <v>57</v>
      </c>
      <c r="B71" s="12" t="s">
        <v>45</v>
      </c>
      <c r="C71" s="33" t="s">
        <v>22</v>
      </c>
      <c r="D71" s="33" t="s">
        <v>44</v>
      </c>
      <c r="E71" s="11" t="s">
        <v>20</v>
      </c>
      <c r="F71" s="14" t="s">
        <v>42</v>
      </c>
      <c r="G71" s="11" t="s">
        <v>482</v>
      </c>
      <c r="H71" s="13" t="s">
        <v>199</v>
      </c>
      <c r="I71" s="11" t="s">
        <v>41</v>
      </c>
      <c r="J71" s="13" t="s">
        <v>21</v>
      </c>
      <c r="K71" s="18">
        <v>23350</v>
      </c>
      <c r="L71" s="15">
        <v>108</v>
      </c>
      <c r="M71" s="15">
        <f>K71*L71</f>
        <v>2521800</v>
      </c>
      <c r="N71" s="15">
        <f>M71*1.12</f>
        <v>2824416.0000000005</v>
      </c>
      <c r="O71" s="28" t="s">
        <v>32</v>
      </c>
      <c r="P71" s="17"/>
      <c r="Q71" s="17"/>
      <c r="R71" s="17"/>
      <c r="S71" s="17"/>
      <c r="T71" s="17"/>
      <c r="U71" s="17"/>
      <c r="V71" s="17"/>
      <c r="W71" s="17"/>
      <c r="X71" s="17"/>
      <c r="Y71" s="17"/>
      <c r="Z71" s="17"/>
    </row>
    <row r="72" spans="1:26" ht="129" customHeight="1" x14ac:dyDescent="0.25">
      <c r="A72" s="11">
        <v>58</v>
      </c>
      <c r="B72" s="12" t="s">
        <v>45</v>
      </c>
      <c r="C72" s="33" t="s">
        <v>22</v>
      </c>
      <c r="D72" s="33" t="s">
        <v>23</v>
      </c>
      <c r="E72" s="11" t="s">
        <v>20</v>
      </c>
      <c r="F72" s="14" t="s">
        <v>42</v>
      </c>
      <c r="G72" s="11" t="s">
        <v>482</v>
      </c>
      <c r="H72" s="11" t="s">
        <v>499</v>
      </c>
      <c r="I72" s="24" t="s">
        <v>17</v>
      </c>
      <c r="J72" s="13" t="s">
        <v>21</v>
      </c>
      <c r="K72" s="35">
        <v>547</v>
      </c>
      <c r="L72" s="32">
        <v>95</v>
      </c>
      <c r="M72" s="15">
        <f t="shared" ref="M72" si="22">K72*L72</f>
        <v>51965</v>
      </c>
      <c r="N72" s="16">
        <f t="shared" ref="N72" si="23">M72*1.12</f>
        <v>58200.800000000003</v>
      </c>
      <c r="O72" s="13" t="s">
        <v>32</v>
      </c>
      <c r="P72" s="17"/>
      <c r="Q72" s="17"/>
      <c r="R72" s="17"/>
      <c r="S72" s="17"/>
      <c r="T72" s="17"/>
      <c r="U72" s="17"/>
      <c r="V72" s="17"/>
      <c r="W72" s="17"/>
      <c r="X72" s="17"/>
      <c r="Y72" s="17"/>
      <c r="Z72" s="17"/>
    </row>
    <row r="73" spans="1:26" ht="99" customHeight="1" x14ac:dyDescent="0.25">
      <c r="A73" s="11">
        <v>59</v>
      </c>
      <c r="B73" s="12" t="s">
        <v>45</v>
      </c>
      <c r="C73" s="33" t="s">
        <v>22</v>
      </c>
      <c r="D73" s="33" t="s">
        <v>23</v>
      </c>
      <c r="E73" s="11" t="s">
        <v>20</v>
      </c>
      <c r="F73" s="11" t="s">
        <v>42</v>
      </c>
      <c r="G73" s="11" t="s">
        <v>482</v>
      </c>
      <c r="H73" s="11" t="s">
        <v>509</v>
      </c>
      <c r="I73" s="24" t="s">
        <v>17</v>
      </c>
      <c r="J73" s="13" t="s">
        <v>21</v>
      </c>
      <c r="K73" s="18">
        <v>1200</v>
      </c>
      <c r="L73" s="32">
        <v>110</v>
      </c>
      <c r="M73" s="15">
        <v>132000</v>
      </c>
      <c r="N73" s="15">
        <v>147840</v>
      </c>
      <c r="O73" s="13" t="s">
        <v>32</v>
      </c>
      <c r="P73" s="17"/>
      <c r="Q73" s="17"/>
      <c r="R73" s="17"/>
      <c r="S73" s="17"/>
      <c r="T73" s="17"/>
      <c r="U73" s="17"/>
      <c r="V73" s="17"/>
      <c r="W73" s="17"/>
      <c r="X73" s="17"/>
      <c r="Y73" s="17"/>
      <c r="Z73" s="17"/>
    </row>
    <row r="74" spans="1:26" ht="102.75" customHeight="1" x14ac:dyDescent="0.25">
      <c r="A74" s="11">
        <v>60</v>
      </c>
      <c r="B74" s="12" t="s">
        <v>45</v>
      </c>
      <c r="C74" s="33" t="s">
        <v>22</v>
      </c>
      <c r="D74" s="33" t="s">
        <v>44</v>
      </c>
      <c r="E74" s="11" t="s">
        <v>20</v>
      </c>
      <c r="F74" s="11" t="s">
        <v>42</v>
      </c>
      <c r="G74" s="11" t="s">
        <v>482</v>
      </c>
      <c r="H74" s="11" t="s">
        <v>509</v>
      </c>
      <c r="I74" s="24" t="s">
        <v>17</v>
      </c>
      <c r="J74" s="13" t="s">
        <v>21</v>
      </c>
      <c r="K74" s="13">
        <v>3363.63</v>
      </c>
      <c r="L74" s="32">
        <v>110</v>
      </c>
      <c r="M74" s="15">
        <v>370000</v>
      </c>
      <c r="N74" s="15">
        <v>414400</v>
      </c>
      <c r="O74" s="13" t="s">
        <v>32</v>
      </c>
      <c r="P74" s="17"/>
      <c r="Q74" s="17"/>
      <c r="R74" s="17"/>
      <c r="S74" s="17"/>
      <c r="T74" s="17"/>
      <c r="U74" s="17"/>
      <c r="V74" s="17"/>
      <c r="W74" s="17"/>
      <c r="X74" s="17"/>
      <c r="Y74" s="17"/>
      <c r="Z74" s="17"/>
    </row>
    <row r="75" spans="1:26" ht="122.25" customHeight="1" x14ac:dyDescent="0.25">
      <c r="A75" s="11">
        <v>61</v>
      </c>
      <c r="B75" s="12" t="s">
        <v>45</v>
      </c>
      <c r="C75" s="33" t="s">
        <v>22</v>
      </c>
      <c r="D75" s="33" t="s">
        <v>44</v>
      </c>
      <c r="E75" s="11" t="s">
        <v>20</v>
      </c>
      <c r="F75" s="11" t="s">
        <v>42</v>
      </c>
      <c r="G75" s="11" t="s">
        <v>482</v>
      </c>
      <c r="H75" s="11" t="s">
        <v>510</v>
      </c>
      <c r="I75" s="24" t="s">
        <v>17</v>
      </c>
      <c r="J75" s="13" t="s">
        <v>21</v>
      </c>
      <c r="K75" s="13">
        <v>6000</v>
      </c>
      <c r="L75" s="32">
        <v>110</v>
      </c>
      <c r="M75" s="15">
        <f>L75*K75</f>
        <v>660000</v>
      </c>
      <c r="N75" s="15">
        <f>M75*1.12</f>
        <v>739200.00000000012</v>
      </c>
      <c r="O75" s="13" t="s">
        <v>32</v>
      </c>
      <c r="P75" s="17"/>
      <c r="Q75" s="17"/>
      <c r="R75" s="17"/>
      <c r="S75" s="17"/>
      <c r="T75" s="17"/>
      <c r="U75" s="17"/>
      <c r="V75" s="17"/>
      <c r="W75" s="17"/>
      <c r="X75" s="17"/>
      <c r="Y75" s="17"/>
      <c r="Z75" s="17"/>
    </row>
    <row r="76" spans="1:26" ht="82.5" customHeight="1" x14ac:dyDescent="0.25">
      <c r="A76" s="11">
        <v>62</v>
      </c>
      <c r="B76" s="12" t="s">
        <v>45</v>
      </c>
      <c r="C76" s="33" t="s">
        <v>22</v>
      </c>
      <c r="D76" s="33" t="s">
        <v>44</v>
      </c>
      <c r="E76" s="11" t="s">
        <v>20</v>
      </c>
      <c r="F76" s="11" t="s">
        <v>42</v>
      </c>
      <c r="G76" s="11" t="s">
        <v>482</v>
      </c>
      <c r="H76" s="11" t="s">
        <v>347</v>
      </c>
      <c r="I76" s="24" t="s">
        <v>17</v>
      </c>
      <c r="J76" s="13" t="s">
        <v>21</v>
      </c>
      <c r="K76" s="13">
        <v>7800</v>
      </c>
      <c r="L76" s="32">
        <v>119.42</v>
      </c>
      <c r="M76" s="15">
        <f>L76*K76</f>
        <v>931476</v>
      </c>
      <c r="N76" s="15">
        <f>M76*1.12</f>
        <v>1043253.1200000001</v>
      </c>
      <c r="O76" s="13" t="s">
        <v>32</v>
      </c>
      <c r="P76" s="17"/>
      <c r="Q76" s="17"/>
      <c r="R76" s="17"/>
      <c r="S76" s="17"/>
      <c r="T76" s="17"/>
      <c r="U76" s="17"/>
      <c r="V76" s="17"/>
      <c r="W76" s="17"/>
      <c r="X76" s="17"/>
      <c r="Y76" s="17"/>
      <c r="Z76" s="17"/>
    </row>
    <row r="77" spans="1:26" ht="82.5" customHeight="1" x14ac:dyDescent="0.25">
      <c r="A77" s="11">
        <v>63</v>
      </c>
      <c r="B77" s="12" t="s">
        <v>45</v>
      </c>
      <c r="C77" s="33" t="s">
        <v>22</v>
      </c>
      <c r="D77" s="33" t="s">
        <v>23</v>
      </c>
      <c r="E77" s="11" t="s">
        <v>20</v>
      </c>
      <c r="F77" s="11" t="s">
        <v>42</v>
      </c>
      <c r="G77" s="11" t="s">
        <v>482</v>
      </c>
      <c r="H77" s="11" t="s">
        <v>347</v>
      </c>
      <c r="I77" s="24" t="s">
        <v>17</v>
      </c>
      <c r="J77" s="13" t="s">
        <v>21</v>
      </c>
      <c r="K77" s="13">
        <v>25458</v>
      </c>
      <c r="L77" s="32">
        <v>89.64</v>
      </c>
      <c r="M77" s="15">
        <f>L77*K77</f>
        <v>2282055.12</v>
      </c>
      <c r="N77" s="15">
        <f>M77*1.12</f>
        <v>2555901.7344000004</v>
      </c>
      <c r="O77" s="13" t="s">
        <v>32</v>
      </c>
      <c r="P77" s="17"/>
      <c r="Q77" s="17"/>
      <c r="R77" s="17"/>
      <c r="S77" s="17"/>
      <c r="T77" s="17"/>
      <c r="U77" s="17"/>
      <c r="V77" s="17"/>
      <c r="W77" s="17"/>
      <c r="X77" s="17"/>
      <c r="Y77" s="17"/>
      <c r="Z77" s="17"/>
    </row>
    <row r="78" spans="1:26" ht="135" customHeight="1" x14ac:dyDescent="0.25">
      <c r="A78" s="11">
        <v>64</v>
      </c>
      <c r="B78" s="12" t="s">
        <v>45</v>
      </c>
      <c r="C78" s="12" t="s">
        <v>120</v>
      </c>
      <c r="D78" s="33" t="s">
        <v>511</v>
      </c>
      <c r="E78" s="13" t="s">
        <v>24</v>
      </c>
      <c r="F78" s="14" t="s">
        <v>42</v>
      </c>
      <c r="G78" s="11" t="s">
        <v>482</v>
      </c>
      <c r="H78" s="11" t="s">
        <v>494</v>
      </c>
      <c r="I78" s="24" t="s">
        <v>17</v>
      </c>
      <c r="J78" s="13" t="s">
        <v>126</v>
      </c>
      <c r="K78" s="18">
        <v>16228</v>
      </c>
      <c r="L78" s="18">
        <v>29483</v>
      </c>
      <c r="M78" s="15">
        <f t="shared" ref="M78" si="24">L78*K78</f>
        <v>478450124</v>
      </c>
      <c r="N78" s="15">
        <f t="shared" ref="N78" si="25">M78*1.12</f>
        <v>535864138.88000005</v>
      </c>
      <c r="O78" s="16" t="s">
        <v>32</v>
      </c>
      <c r="P78" s="17"/>
      <c r="Q78" s="17"/>
      <c r="R78" s="17"/>
      <c r="S78" s="17"/>
      <c r="T78" s="17"/>
      <c r="U78" s="17"/>
      <c r="V78" s="17"/>
      <c r="W78" s="17"/>
      <c r="X78" s="17"/>
      <c r="Y78" s="17"/>
      <c r="Z78" s="17"/>
    </row>
    <row r="79" spans="1:26" ht="81.75" customHeight="1" x14ac:dyDescent="0.25">
      <c r="A79" s="11">
        <v>65</v>
      </c>
      <c r="B79" s="12" t="s">
        <v>45</v>
      </c>
      <c r="C79" s="12" t="s">
        <v>120</v>
      </c>
      <c r="D79" s="38" t="s">
        <v>512</v>
      </c>
      <c r="E79" s="13" t="s">
        <v>24</v>
      </c>
      <c r="F79" s="14" t="s">
        <v>42</v>
      </c>
      <c r="G79" s="11" t="s">
        <v>482</v>
      </c>
      <c r="H79" s="11" t="s">
        <v>347</v>
      </c>
      <c r="I79" s="24" t="s">
        <v>17</v>
      </c>
      <c r="J79" s="13" t="s">
        <v>126</v>
      </c>
      <c r="K79" s="39">
        <v>10217</v>
      </c>
      <c r="L79" s="39">
        <v>29483</v>
      </c>
      <c r="M79" s="34">
        <f t="shared" ref="M79" si="26">K79*L79</f>
        <v>301227811</v>
      </c>
      <c r="N79" s="34">
        <f t="shared" ref="N79:N89" si="27">M79*1.12</f>
        <v>337375148.32000005</v>
      </c>
      <c r="O79" s="16" t="s">
        <v>32</v>
      </c>
      <c r="P79" s="17"/>
      <c r="Q79" s="17"/>
      <c r="R79" s="17"/>
      <c r="S79" s="17"/>
      <c r="T79" s="17"/>
      <c r="U79" s="17"/>
      <c r="V79" s="17"/>
      <c r="W79" s="17"/>
      <c r="X79" s="17"/>
      <c r="Y79" s="17"/>
      <c r="Z79" s="17"/>
    </row>
    <row r="80" spans="1:26" ht="111.75" customHeight="1" x14ac:dyDescent="0.25">
      <c r="A80" s="11">
        <v>66</v>
      </c>
      <c r="B80" s="12" t="s">
        <v>45</v>
      </c>
      <c r="C80" s="40" t="s">
        <v>121</v>
      </c>
      <c r="D80" s="41" t="s">
        <v>117</v>
      </c>
      <c r="E80" s="13" t="s">
        <v>24</v>
      </c>
      <c r="F80" s="14" t="s">
        <v>42</v>
      </c>
      <c r="G80" s="11" t="s">
        <v>482</v>
      </c>
      <c r="H80" s="11" t="s">
        <v>494</v>
      </c>
      <c r="I80" s="24" t="s">
        <v>17</v>
      </c>
      <c r="J80" s="13" t="s">
        <v>126</v>
      </c>
      <c r="K80" s="18">
        <v>2200</v>
      </c>
      <c r="L80" s="18">
        <v>32142</v>
      </c>
      <c r="M80" s="15">
        <f t="shared" ref="M80" si="28">L80*K80</f>
        <v>70712400</v>
      </c>
      <c r="N80" s="15">
        <f t="shared" si="27"/>
        <v>79197888.000000015</v>
      </c>
      <c r="O80" s="16" t="s">
        <v>32</v>
      </c>
      <c r="P80" s="17"/>
      <c r="Q80" s="17"/>
      <c r="R80" s="17"/>
      <c r="S80" s="17"/>
      <c r="T80" s="17"/>
      <c r="U80" s="17"/>
      <c r="V80" s="17"/>
      <c r="W80" s="17"/>
      <c r="X80" s="17"/>
      <c r="Y80" s="17"/>
      <c r="Z80" s="17"/>
    </row>
    <row r="81" spans="1:26" ht="81.75" customHeight="1" x14ac:dyDescent="0.25">
      <c r="A81" s="11">
        <v>67</v>
      </c>
      <c r="B81" s="12" t="s">
        <v>45</v>
      </c>
      <c r="C81" s="40" t="s">
        <v>121</v>
      </c>
      <c r="D81" s="42" t="s">
        <v>464</v>
      </c>
      <c r="E81" s="13" t="s">
        <v>24</v>
      </c>
      <c r="F81" s="14" t="s">
        <v>42</v>
      </c>
      <c r="G81" s="11" t="s">
        <v>482</v>
      </c>
      <c r="H81" s="11" t="s">
        <v>347</v>
      </c>
      <c r="I81" s="24" t="s">
        <v>17</v>
      </c>
      <c r="J81" s="13" t="s">
        <v>126</v>
      </c>
      <c r="K81" s="26">
        <v>2800</v>
      </c>
      <c r="L81" s="26">
        <v>32142</v>
      </c>
      <c r="M81" s="34">
        <f t="shared" ref="M81" si="29">K81*L81</f>
        <v>89997600</v>
      </c>
      <c r="N81" s="34">
        <f t="shared" si="27"/>
        <v>100797312.00000001</v>
      </c>
      <c r="O81" s="16" t="s">
        <v>32</v>
      </c>
      <c r="P81" s="17"/>
      <c r="Q81" s="17"/>
      <c r="R81" s="17"/>
      <c r="S81" s="17"/>
      <c r="T81" s="17"/>
      <c r="U81" s="17"/>
      <c r="V81" s="17"/>
      <c r="W81" s="17"/>
      <c r="X81" s="17"/>
      <c r="Y81" s="17"/>
      <c r="Z81" s="17"/>
    </row>
    <row r="82" spans="1:26" ht="107.25" customHeight="1" x14ac:dyDescent="0.25">
      <c r="A82" s="11">
        <v>68</v>
      </c>
      <c r="B82" s="12" t="s">
        <v>45</v>
      </c>
      <c r="C82" s="40" t="s">
        <v>122</v>
      </c>
      <c r="D82" s="41" t="s">
        <v>465</v>
      </c>
      <c r="E82" s="13" t="s">
        <v>24</v>
      </c>
      <c r="F82" s="14" t="s">
        <v>42</v>
      </c>
      <c r="G82" s="11" t="s">
        <v>482</v>
      </c>
      <c r="H82" s="11" t="s">
        <v>494</v>
      </c>
      <c r="I82" s="24" t="s">
        <v>17</v>
      </c>
      <c r="J82" s="41" t="s">
        <v>127</v>
      </c>
      <c r="K82" s="18">
        <v>870</v>
      </c>
      <c r="L82" s="18">
        <v>125000</v>
      </c>
      <c r="M82" s="15">
        <f t="shared" ref="M82" si="30">L82*K82</f>
        <v>108750000</v>
      </c>
      <c r="N82" s="15">
        <f t="shared" si="27"/>
        <v>121800000.00000001</v>
      </c>
      <c r="O82" s="16" t="s">
        <v>32</v>
      </c>
      <c r="P82" s="23"/>
      <c r="Q82" s="17"/>
      <c r="R82" s="17"/>
      <c r="S82" s="17"/>
      <c r="T82" s="17"/>
      <c r="U82" s="17"/>
      <c r="V82" s="17"/>
      <c r="W82" s="17"/>
      <c r="X82" s="17"/>
      <c r="Y82" s="17"/>
      <c r="Z82" s="17"/>
    </row>
    <row r="83" spans="1:26" ht="81.75" customHeight="1" x14ac:dyDescent="0.25">
      <c r="A83" s="11">
        <v>69</v>
      </c>
      <c r="B83" s="12" t="s">
        <v>45</v>
      </c>
      <c r="C83" s="40" t="s">
        <v>122</v>
      </c>
      <c r="D83" s="41" t="s">
        <v>465</v>
      </c>
      <c r="E83" s="13" t="s">
        <v>24</v>
      </c>
      <c r="F83" s="14" t="s">
        <v>42</v>
      </c>
      <c r="G83" s="11" t="s">
        <v>482</v>
      </c>
      <c r="H83" s="11" t="s">
        <v>347</v>
      </c>
      <c r="I83" s="24" t="s">
        <v>17</v>
      </c>
      <c r="J83" s="41" t="s">
        <v>127</v>
      </c>
      <c r="K83" s="43">
        <v>130</v>
      </c>
      <c r="L83" s="26">
        <v>125000</v>
      </c>
      <c r="M83" s="34">
        <f>K83*L83</f>
        <v>16250000</v>
      </c>
      <c r="N83" s="34">
        <f t="shared" si="27"/>
        <v>18200000</v>
      </c>
      <c r="O83" s="16" t="s">
        <v>32</v>
      </c>
      <c r="P83" s="23"/>
      <c r="Q83" s="17"/>
      <c r="R83" s="17"/>
      <c r="S83" s="17"/>
      <c r="T83" s="17"/>
      <c r="U83" s="17"/>
      <c r="V83" s="17"/>
      <c r="W83" s="17"/>
      <c r="X83" s="17"/>
      <c r="Y83" s="17"/>
      <c r="Z83" s="17"/>
    </row>
    <row r="84" spans="1:26" ht="121.5" customHeight="1" x14ac:dyDescent="0.25">
      <c r="A84" s="11">
        <v>70</v>
      </c>
      <c r="B84" s="12" t="s">
        <v>45</v>
      </c>
      <c r="C84" s="40" t="s">
        <v>123</v>
      </c>
      <c r="D84" s="42" t="s">
        <v>467</v>
      </c>
      <c r="E84" s="13" t="s">
        <v>24</v>
      </c>
      <c r="F84" s="14" t="s">
        <v>42</v>
      </c>
      <c r="G84" s="11" t="s">
        <v>482</v>
      </c>
      <c r="H84" s="11" t="s">
        <v>494</v>
      </c>
      <c r="I84" s="24" t="s">
        <v>17</v>
      </c>
      <c r="J84" s="41" t="s">
        <v>127</v>
      </c>
      <c r="K84" s="15">
        <v>83.62</v>
      </c>
      <c r="L84" s="18">
        <v>250555</v>
      </c>
      <c r="M84" s="18">
        <f t="shared" ref="M84" si="31">L84*K84</f>
        <v>20951409.100000001</v>
      </c>
      <c r="N84" s="15">
        <f t="shared" si="27"/>
        <v>23465578.192000005</v>
      </c>
      <c r="O84" s="16" t="s">
        <v>32</v>
      </c>
      <c r="P84" s="23"/>
      <c r="Q84" s="17"/>
      <c r="R84" s="17"/>
      <c r="S84" s="17"/>
      <c r="T84" s="17"/>
      <c r="U84" s="17"/>
      <c r="V84" s="17"/>
      <c r="W84" s="17"/>
      <c r="X84" s="17"/>
      <c r="Y84" s="17"/>
      <c r="Z84" s="17"/>
    </row>
    <row r="85" spans="1:26" ht="81.75" customHeight="1" x14ac:dyDescent="0.25">
      <c r="A85" s="11">
        <v>71</v>
      </c>
      <c r="B85" s="12" t="s">
        <v>45</v>
      </c>
      <c r="C85" s="40" t="s">
        <v>123</v>
      </c>
      <c r="D85" s="42" t="s">
        <v>466</v>
      </c>
      <c r="E85" s="13" t="s">
        <v>24</v>
      </c>
      <c r="F85" s="14" t="s">
        <v>42</v>
      </c>
      <c r="G85" s="11" t="s">
        <v>482</v>
      </c>
      <c r="H85" s="11" t="s">
        <v>347</v>
      </c>
      <c r="I85" s="24" t="s">
        <v>17</v>
      </c>
      <c r="J85" s="41" t="s">
        <v>127</v>
      </c>
      <c r="K85" s="44">
        <v>7.38</v>
      </c>
      <c r="L85" s="45">
        <v>250555</v>
      </c>
      <c r="M85" s="34">
        <f t="shared" ref="M85" si="32">K85*L85</f>
        <v>1849095.9</v>
      </c>
      <c r="N85" s="34">
        <f t="shared" si="27"/>
        <v>2070987.4080000001</v>
      </c>
      <c r="O85" s="16" t="s">
        <v>32</v>
      </c>
      <c r="P85" s="23"/>
      <c r="Q85" s="17"/>
      <c r="R85" s="17"/>
      <c r="S85" s="17"/>
      <c r="T85" s="17"/>
      <c r="U85" s="17"/>
      <c r="V85" s="17"/>
      <c r="W85" s="17"/>
      <c r="X85" s="17"/>
      <c r="Y85" s="17"/>
      <c r="Z85" s="17"/>
    </row>
    <row r="86" spans="1:26" ht="108.75" customHeight="1" x14ac:dyDescent="0.25">
      <c r="A86" s="11">
        <v>72</v>
      </c>
      <c r="B86" s="12" t="s">
        <v>45</v>
      </c>
      <c r="C86" s="40" t="s">
        <v>124</v>
      </c>
      <c r="D86" s="41" t="s">
        <v>118</v>
      </c>
      <c r="E86" s="11" t="s">
        <v>20</v>
      </c>
      <c r="F86" s="14" t="s">
        <v>42</v>
      </c>
      <c r="G86" s="11" t="s">
        <v>482</v>
      </c>
      <c r="H86" s="11" t="s">
        <v>494</v>
      </c>
      <c r="I86" s="24" t="s">
        <v>17</v>
      </c>
      <c r="J86" s="41" t="s">
        <v>127</v>
      </c>
      <c r="K86" s="18">
        <v>2</v>
      </c>
      <c r="L86" s="18">
        <v>190000</v>
      </c>
      <c r="M86" s="15">
        <f t="shared" ref="M86" si="33">L86*K86</f>
        <v>380000</v>
      </c>
      <c r="N86" s="15">
        <f t="shared" si="27"/>
        <v>425600.00000000006</v>
      </c>
      <c r="O86" s="16" t="s">
        <v>32</v>
      </c>
      <c r="P86" s="17"/>
      <c r="Q86" s="17"/>
      <c r="R86" s="17"/>
      <c r="S86" s="17"/>
      <c r="T86" s="17"/>
      <c r="U86" s="17"/>
      <c r="V86" s="17"/>
      <c r="W86" s="17"/>
      <c r="X86" s="17"/>
      <c r="Y86" s="17"/>
      <c r="Z86" s="17"/>
    </row>
    <row r="87" spans="1:26" ht="81.75" customHeight="1" x14ac:dyDescent="0.25">
      <c r="A87" s="11">
        <v>73</v>
      </c>
      <c r="B87" s="12" t="s">
        <v>45</v>
      </c>
      <c r="C87" s="40" t="s">
        <v>124</v>
      </c>
      <c r="D87" s="42" t="s">
        <v>118</v>
      </c>
      <c r="E87" s="11" t="s">
        <v>20</v>
      </c>
      <c r="F87" s="14" t="s">
        <v>42</v>
      </c>
      <c r="G87" s="11" t="s">
        <v>482</v>
      </c>
      <c r="H87" s="11" t="s">
        <v>347</v>
      </c>
      <c r="I87" s="24" t="s">
        <v>17</v>
      </c>
      <c r="J87" s="41" t="s">
        <v>127</v>
      </c>
      <c r="K87" s="43">
        <v>1</v>
      </c>
      <c r="L87" s="45">
        <v>190000</v>
      </c>
      <c r="M87" s="34">
        <f t="shared" ref="M87" si="34">K87*L87</f>
        <v>190000</v>
      </c>
      <c r="N87" s="34">
        <f t="shared" si="27"/>
        <v>212800.00000000003</v>
      </c>
      <c r="O87" s="16" t="s">
        <v>32</v>
      </c>
      <c r="P87" s="17"/>
      <c r="Q87" s="17"/>
      <c r="R87" s="17"/>
      <c r="S87" s="17"/>
      <c r="T87" s="17"/>
      <c r="U87" s="17"/>
      <c r="V87" s="17"/>
      <c r="W87" s="17"/>
      <c r="X87" s="17"/>
      <c r="Y87" s="17"/>
      <c r="Z87" s="17"/>
    </row>
    <row r="88" spans="1:26" ht="97.5" customHeight="1" x14ac:dyDescent="0.25">
      <c r="A88" s="11">
        <v>74</v>
      </c>
      <c r="B88" s="12" t="s">
        <v>45</v>
      </c>
      <c r="C88" s="40" t="s">
        <v>125</v>
      </c>
      <c r="D88" s="41" t="s">
        <v>119</v>
      </c>
      <c r="E88" s="11" t="s">
        <v>20</v>
      </c>
      <c r="F88" s="14" t="s">
        <v>42</v>
      </c>
      <c r="G88" s="11" t="s">
        <v>482</v>
      </c>
      <c r="H88" s="11" t="s">
        <v>494</v>
      </c>
      <c r="I88" s="24" t="s">
        <v>17</v>
      </c>
      <c r="J88" s="41" t="s">
        <v>127</v>
      </c>
      <c r="K88" s="18">
        <v>18</v>
      </c>
      <c r="L88" s="18">
        <v>312434</v>
      </c>
      <c r="M88" s="15">
        <f t="shared" ref="M88" si="35">L88*K88</f>
        <v>5623812</v>
      </c>
      <c r="N88" s="15">
        <f t="shared" si="27"/>
        <v>6298669.4400000004</v>
      </c>
      <c r="O88" s="16" t="s">
        <v>32</v>
      </c>
      <c r="P88" s="23"/>
      <c r="Q88" s="17"/>
      <c r="R88" s="17"/>
      <c r="S88" s="17"/>
      <c r="T88" s="17"/>
      <c r="U88" s="17"/>
      <c r="V88" s="17"/>
      <c r="W88" s="17"/>
      <c r="X88" s="17"/>
      <c r="Y88" s="17"/>
      <c r="Z88" s="17"/>
    </row>
    <row r="89" spans="1:26" ht="97.5" customHeight="1" x14ac:dyDescent="0.25">
      <c r="A89" s="11">
        <v>75</v>
      </c>
      <c r="B89" s="12" t="s">
        <v>45</v>
      </c>
      <c r="C89" s="40" t="s">
        <v>125</v>
      </c>
      <c r="D89" s="42" t="s">
        <v>119</v>
      </c>
      <c r="E89" s="11" t="s">
        <v>20</v>
      </c>
      <c r="F89" s="14" t="s">
        <v>42</v>
      </c>
      <c r="G89" s="11" t="s">
        <v>482</v>
      </c>
      <c r="H89" s="11" t="s">
        <v>347</v>
      </c>
      <c r="I89" s="24" t="s">
        <v>17</v>
      </c>
      <c r="J89" s="41" t="s">
        <v>127</v>
      </c>
      <c r="K89" s="46">
        <v>6.5</v>
      </c>
      <c r="L89" s="45">
        <v>312434</v>
      </c>
      <c r="M89" s="34">
        <f t="shared" ref="M89" si="36">K89*L89</f>
        <v>2030821</v>
      </c>
      <c r="N89" s="34">
        <f t="shared" si="27"/>
        <v>2274519.52</v>
      </c>
      <c r="O89" s="16" t="s">
        <v>32</v>
      </c>
      <c r="P89" s="23"/>
      <c r="Q89" s="17"/>
      <c r="R89" s="17"/>
      <c r="S89" s="17"/>
      <c r="T89" s="17"/>
      <c r="U89" s="17"/>
      <c r="V89" s="17"/>
      <c r="W89" s="17"/>
      <c r="X89" s="17"/>
      <c r="Y89" s="17"/>
      <c r="Z89" s="17"/>
    </row>
    <row r="90" spans="1:26" ht="87.75" customHeight="1" x14ac:dyDescent="0.25">
      <c r="A90" s="11">
        <v>76</v>
      </c>
      <c r="B90" s="12" t="s">
        <v>45</v>
      </c>
      <c r="C90" s="33" t="s">
        <v>71</v>
      </c>
      <c r="D90" s="33" t="s">
        <v>128</v>
      </c>
      <c r="E90" s="11" t="s">
        <v>20</v>
      </c>
      <c r="F90" s="14" t="s">
        <v>42</v>
      </c>
      <c r="G90" s="11" t="s">
        <v>482</v>
      </c>
      <c r="H90" s="11" t="s">
        <v>496</v>
      </c>
      <c r="I90" s="24" t="s">
        <v>17</v>
      </c>
      <c r="J90" s="13" t="s">
        <v>408</v>
      </c>
      <c r="K90" s="13"/>
      <c r="L90" s="15"/>
      <c r="M90" s="15">
        <v>156000</v>
      </c>
      <c r="N90" s="15">
        <f t="shared" ref="N90:N105" si="37">M90*1.12</f>
        <v>174720.00000000003</v>
      </c>
      <c r="O90" s="16" t="s">
        <v>32</v>
      </c>
      <c r="P90" s="17"/>
      <c r="Q90" s="17"/>
      <c r="R90" s="17"/>
      <c r="S90" s="17"/>
      <c r="T90" s="17"/>
      <c r="U90" s="17"/>
      <c r="V90" s="17"/>
      <c r="W90" s="17"/>
      <c r="X90" s="17"/>
      <c r="Y90" s="17"/>
      <c r="Z90" s="17"/>
    </row>
    <row r="91" spans="1:26" ht="87.75" customHeight="1" x14ac:dyDescent="0.25">
      <c r="A91" s="11">
        <v>77</v>
      </c>
      <c r="B91" s="12" t="s">
        <v>45</v>
      </c>
      <c r="C91" s="33" t="s">
        <v>71</v>
      </c>
      <c r="D91" s="33" t="s">
        <v>128</v>
      </c>
      <c r="E91" s="11" t="s">
        <v>20</v>
      </c>
      <c r="F91" s="14" t="s">
        <v>42</v>
      </c>
      <c r="G91" s="11" t="s">
        <v>482</v>
      </c>
      <c r="H91" s="11" t="s">
        <v>500</v>
      </c>
      <c r="I91" s="24" t="s">
        <v>17</v>
      </c>
      <c r="J91" s="13" t="s">
        <v>408</v>
      </c>
      <c r="K91" s="13"/>
      <c r="L91" s="15"/>
      <c r="M91" s="15">
        <v>180000</v>
      </c>
      <c r="N91" s="15">
        <f>M91*1.12</f>
        <v>201600.00000000003</v>
      </c>
      <c r="O91" s="16" t="s">
        <v>32</v>
      </c>
      <c r="P91" s="17"/>
      <c r="Q91" s="17"/>
      <c r="R91" s="17"/>
      <c r="S91" s="17"/>
      <c r="T91" s="17"/>
      <c r="U91" s="17"/>
      <c r="V91" s="17"/>
      <c r="W91" s="17"/>
      <c r="X91" s="17"/>
      <c r="Y91" s="17"/>
      <c r="Z91" s="17"/>
    </row>
    <row r="92" spans="1:26" ht="63.75" customHeight="1" x14ac:dyDescent="0.25">
      <c r="A92" s="11">
        <v>78</v>
      </c>
      <c r="B92" s="12" t="s">
        <v>45</v>
      </c>
      <c r="C92" s="14" t="s">
        <v>139</v>
      </c>
      <c r="D92" s="33" t="s">
        <v>69</v>
      </c>
      <c r="E92" s="11" t="s">
        <v>20</v>
      </c>
      <c r="F92" s="14" t="s">
        <v>42</v>
      </c>
      <c r="G92" s="11" t="s">
        <v>482</v>
      </c>
      <c r="H92" s="11" t="s">
        <v>501</v>
      </c>
      <c r="I92" s="24" t="s">
        <v>68</v>
      </c>
      <c r="J92" s="13" t="s">
        <v>107</v>
      </c>
      <c r="K92" s="13"/>
      <c r="L92" s="18"/>
      <c r="M92" s="15">
        <v>1100000</v>
      </c>
      <c r="N92" s="15">
        <f t="shared" si="37"/>
        <v>1232000.0000000002</v>
      </c>
      <c r="O92" s="16" t="s">
        <v>32</v>
      </c>
      <c r="P92" s="17"/>
      <c r="Q92" s="17"/>
      <c r="R92" s="17"/>
      <c r="S92" s="17"/>
      <c r="T92" s="17"/>
      <c r="U92" s="17"/>
      <c r="V92" s="17"/>
      <c r="W92" s="17"/>
      <c r="X92" s="17"/>
      <c r="Y92" s="17"/>
      <c r="Z92" s="17"/>
    </row>
    <row r="93" spans="1:26" ht="63.75" customHeight="1" x14ac:dyDescent="0.25">
      <c r="A93" s="11">
        <v>79</v>
      </c>
      <c r="B93" s="12" t="s">
        <v>45</v>
      </c>
      <c r="C93" s="33" t="s">
        <v>71</v>
      </c>
      <c r="D93" s="33" t="s">
        <v>72</v>
      </c>
      <c r="E93" s="11" t="s">
        <v>20</v>
      </c>
      <c r="F93" s="14" t="s">
        <v>42</v>
      </c>
      <c r="G93" s="11" t="s">
        <v>482</v>
      </c>
      <c r="H93" s="11" t="s">
        <v>501</v>
      </c>
      <c r="I93" s="24" t="s">
        <v>68</v>
      </c>
      <c r="J93" s="13" t="s">
        <v>107</v>
      </c>
      <c r="K93" s="13"/>
      <c r="L93" s="18"/>
      <c r="M93" s="15">
        <v>4225000</v>
      </c>
      <c r="N93" s="15">
        <f t="shared" si="37"/>
        <v>4732000</v>
      </c>
      <c r="O93" s="16" t="s">
        <v>32</v>
      </c>
      <c r="P93" s="17"/>
      <c r="Q93" s="17"/>
      <c r="R93" s="17"/>
      <c r="S93" s="17"/>
      <c r="T93" s="17"/>
      <c r="U93" s="17"/>
      <c r="V93" s="17"/>
      <c r="W93" s="17"/>
      <c r="X93" s="17"/>
      <c r="Y93" s="17"/>
      <c r="Z93" s="17"/>
    </row>
    <row r="94" spans="1:26" ht="63.75" customHeight="1" x14ac:dyDescent="0.25">
      <c r="A94" s="11">
        <v>80</v>
      </c>
      <c r="B94" s="12" t="s">
        <v>45</v>
      </c>
      <c r="C94" s="33" t="s">
        <v>71</v>
      </c>
      <c r="D94" s="33" t="s">
        <v>138</v>
      </c>
      <c r="E94" s="11" t="s">
        <v>20</v>
      </c>
      <c r="F94" s="14" t="s">
        <v>42</v>
      </c>
      <c r="G94" s="11" t="s">
        <v>482</v>
      </c>
      <c r="H94" s="11" t="s">
        <v>497</v>
      </c>
      <c r="I94" s="24" t="s">
        <v>17</v>
      </c>
      <c r="J94" s="13" t="s">
        <v>107</v>
      </c>
      <c r="K94" s="13"/>
      <c r="L94" s="32"/>
      <c r="M94" s="15">
        <v>203000</v>
      </c>
      <c r="N94" s="15">
        <f t="shared" si="37"/>
        <v>227360.00000000003</v>
      </c>
      <c r="O94" s="16" t="s">
        <v>32</v>
      </c>
      <c r="P94" s="17"/>
      <c r="Q94" s="17"/>
      <c r="R94" s="17"/>
      <c r="S94" s="17"/>
      <c r="T94" s="17"/>
      <c r="U94" s="17"/>
      <c r="V94" s="17"/>
      <c r="W94" s="17"/>
      <c r="X94" s="17"/>
      <c r="Y94" s="17"/>
      <c r="Z94" s="17"/>
    </row>
    <row r="95" spans="1:26" ht="63.75" customHeight="1" x14ac:dyDescent="0.25">
      <c r="A95" s="11">
        <v>81</v>
      </c>
      <c r="B95" s="12" t="s">
        <v>45</v>
      </c>
      <c r="C95" s="33" t="s">
        <v>71</v>
      </c>
      <c r="D95" s="33" t="s">
        <v>138</v>
      </c>
      <c r="E95" s="11" t="s">
        <v>20</v>
      </c>
      <c r="F95" s="14" t="s">
        <v>42</v>
      </c>
      <c r="G95" s="11" t="s">
        <v>482</v>
      </c>
      <c r="H95" s="11" t="s">
        <v>142</v>
      </c>
      <c r="I95" s="24" t="s">
        <v>17</v>
      </c>
      <c r="J95" s="13" t="s">
        <v>107</v>
      </c>
      <c r="K95" s="13"/>
      <c r="L95" s="32"/>
      <c r="M95" s="15">
        <v>62000</v>
      </c>
      <c r="N95" s="15">
        <f t="shared" si="37"/>
        <v>69440</v>
      </c>
      <c r="O95" s="16" t="s">
        <v>32</v>
      </c>
      <c r="P95" s="17"/>
      <c r="Q95" s="17"/>
      <c r="R95" s="17"/>
      <c r="S95" s="17"/>
      <c r="T95" s="17"/>
      <c r="U95" s="17"/>
      <c r="V95" s="17"/>
      <c r="W95" s="17"/>
      <c r="X95" s="17"/>
      <c r="Y95" s="17"/>
      <c r="Z95" s="17"/>
    </row>
    <row r="96" spans="1:26" ht="63.75" customHeight="1" x14ac:dyDescent="0.25">
      <c r="A96" s="11">
        <v>82</v>
      </c>
      <c r="B96" s="12" t="s">
        <v>45</v>
      </c>
      <c r="C96" s="33" t="s">
        <v>71</v>
      </c>
      <c r="D96" s="40" t="s">
        <v>322</v>
      </c>
      <c r="E96" s="11" t="s">
        <v>20</v>
      </c>
      <c r="F96" s="14" t="s">
        <v>42</v>
      </c>
      <c r="G96" s="11" t="s">
        <v>482</v>
      </c>
      <c r="H96" s="11" t="s">
        <v>499</v>
      </c>
      <c r="I96" s="24" t="s">
        <v>17</v>
      </c>
      <c r="J96" s="13" t="s">
        <v>107</v>
      </c>
      <c r="K96" s="13"/>
      <c r="L96" s="32"/>
      <c r="M96" s="15">
        <v>60000</v>
      </c>
      <c r="N96" s="15">
        <f t="shared" si="37"/>
        <v>67200</v>
      </c>
      <c r="O96" s="13" t="s">
        <v>32</v>
      </c>
      <c r="P96" s="17"/>
      <c r="Q96" s="17"/>
      <c r="R96" s="17"/>
      <c r="S96" s="17"/>
      <c r="T96" s="17"/>
      <c r="U96" s="17"/>
      <c r="V96" s="17"/>
      <c r="W96" s="17"/>
      <c r="X96" s="17"/>
      <c r="Y96" s="17"/>
      <c r="Z96" s="17"/>
    </row>
    <row r="97" spans="1:26" ht="105.75" customHeight="1" x14ac:dyDescent="0.25">
      <c r="A97" s="11">
        <v>83</v>
      </c>
      <c r="B97" s="12" t="s">
        <v>45</v>
      </c>
      <c r="C97" s="33" t="s">
        <v>71</v>
      </c>
      <c r="D97" s="40" t="s">
        <v>322</v>
      </c>
      <c r="E97" s="11" t="s">
        <v>20</v>
      </c>
      <c r="F97" s="14" t="s">
        <v>42</v>
      </c>
      <c r="G97" s="11" t="s">
        <v>482</v>
      </c>
      <c r="H97" s="11" t="s">
        <v>494</v>
      </c>
      <c r="I97" s="24" t="s">
        <v>17</v>
      </c>
      <c r="J97" s="13" t="s">
        <v>107</v>
      </c>
      <c r="K97" s="13"/>
      <c r="L97" s="32"/>
      <c r="M97" s="15">
        <v>1669200</v>
      </c>
      <c r="N97" s="15">
        <f t="shared" ref="N97" si="38">M97*1.12</f>
        <v>1869504.0000000002</v>
      </c>
      <c r="O97" s="13" t="s">
        <v>32</v>
      </c>
      <c r="P97" s="17"/>
      <c r="Q97" s="17"/>
      <c r="R97" s="17"/>
      <c r="S97" s="17"/>
      <c r="T97" s="17"/>
      <c r="U97" s="17"/>
      <c r="V97" s="17"/>
      <c r="W97" s="17"/>
      <c r="X97" s="17"/>
      <c r="Y97" s="17"/>
      <c r="Z97" s="17"/>
    </row>
    <row r="98" spans="1:26" ht="81" customHeight="1" x14ac:dyDescent="0.25">
      <c r="A98" s="11">
        <v>84</v>
      </c>
      <c r="B98" s="12" t="s">
        <v>45</v>
      </c>
      <c r="C98" s="33" t="s">
        <v>71</v>
      </c>
      <c r="D98" s="47" t="s">
        <v>522</v>
      </c>
      <c r="E98" s="11" t="s">
        <v>20</v>
      </c>
      <c r="F98" s="14" t="s">
        <v>42</v>
      </c>
      <c r="G98" s="11" t="s">
        <v>482</v>
      </c>
      <c r="H98" s="11" t="s">
        <v>348</v>
      </c>
      <c r="I98" s="24" t="s">
        <v>17</v>
      </c>
      <c r="J98" s="13" t="s">
        <v>107</v>
      </c>
      <c r="K98" s="13"/>
      <c r="L98" s="32"/>
      <c r="M98" s="15">
        <v>1397000</v>
      </c>
      <c r="N98" s="15">
        <f t="shared" ref="N98" si="39">M98*1.12</f>
        <v>1564640.0000000002</v>
      </c>
      <c r="O98" s="13" t="s">
        <v>32</v>
      </c>
      <c r="P98" s="17"/>
      <c r="Q98" s="17"/>
      <c r="R98" s="17"/>
      <c r="S98" s="17"/>
      <c r="T98" s="17"/>
      <c r="U98" s="17"/>
      <c r="V98" s="17"/>
      <c r="W98" s="17"/>
      <c r="X98" s="17"/>
      <c r="Y98" s="17"/>
      <c r="Z98" s="17"/>
    </row>
    <row r="99" spans="1:26" ht="108.75" customHeight="1" x14ac:dyDescent="0.25">
      <c r="A99" s="11">
        <v>85</v>
      </c>
      <c r="B99" s="12" t="s">
        <v>45</v>
      </c>
      <c r="C99" s="14" t="s">
        <v>139</v>
      </c>
      <c r="D99" s="24" t="s">
        <v>140</v>
      </c>
      <c r="E99" s="11" t="s">
        <v>20</v>
      </c>
      <c r="F99" s="14" t="s">
        <v>42</v>
      </c>
      <c r="G99" s="11" t="s">
        <v>482</v>
      </c>
      <c r="H99" s="11" t="s">
        <v>497</v>
      </c>
      <c r="I99" s="24" t="s">
        <v>17</v>
      </c>
      <c r="J99" s="13" t="s">
        <v>107</v>
      </c>
      <c r="K99" s="13"/>
      <c r="L99" s="32"/>
      <c r="M99" s="15">
        <v>120000</v>
      </c>
      <c r="N99" s="15">
        <f t="shared" si="37"/>
        <v>134400</v>
      </c>
      <c r="O99" s="16" t="s">
        <v>32</v>
      </c>
      <c r="P99" s="17"/>
      <c r="Q99" s="17"/>
      <c r="R99" s="17"/>
      <c r="S99" s="17"/>
      <c r="T99" s="17"/>
      <c r="U99" s="17"/>
      <c r="V99" s="17"/>
      <c r="W99" s="17"/>
      <c r="X99" s="17"/>
      <c r="Y99" s="17"/>
      <c r="Z99" s="17"/>
    </row>
    <row r="100" spans="1:26" ht="108.75" customHeight="1" x14ac:dyDescent="0.25">
      <c r="A100" s="11">
        <v>86</v>
      </c>
      <c r="B100" s="12" t="s">
        <v>45</v>
      </c>
      <c r="C100" s="14" t="s">
        <v>139</v>
      </c>
      <c r="D100" s="24" t="s">
        <v>140</v>
      </c>
      <c r="E100" s="11" t="s">
        <v>20</v>
      </c>
      <c r="F100" s="14" t="s">
        <v>42</v>
      </c>
      <c r="G100" s="11" t="s">
        <v>482</v>
      </c>
      <c r="H100" s="11" t="s">
        <v>142</v>
      </c>
      <c r="I100" s="24" t="s">
        <v>17</v>
      </c>
      <c r="J100" s="13" t="s">
        <v>107</v>
      </c>
      <c r="K100" s="13"/>
      <c r="L100" s="32"/>
      <c r="M100" s="15">
        <v>64000</v>
      </c>
      <c r="N100" s="15">
        <f t="shared" si="37"/>
        <v>71680</v>
      </c>
      <c r="O100" s="16" t="s">
        <v>32</v>
      </c>
      <c r="P100" s="17"/>
      <c r="Q100" s="17"/>
      <c r="R100" s="17"/>
      <c r="S100" s="17"/>
      <c r="T100" s="17"/>
      <c r="U100" s="17"/>
      <c r="V100" s="17"/>
      <c r="W100" s="17"/>
      <c r="X100" s="17"/>
      <c r="Y100" s="17"/>
      <c r="Z100" s="17"/>
    </row>
    <row r="101" spans="1:26" ht="145.5" customHeight="1" x14ac:dyDescent="0.25">
      <c r="A101" s="11">
        <v>87</v>
      </c>
      <c r="B101" s="12" t="s">
        <v>45</v>
      </c>
      <c r="C101" s="33" t="s">
        <v>139</v>
      </c>
      <c r="D101" s="14" t="s">
        <v>207</v>
      </c>
      <c r="E101" s="11" t="s">
        <v>20</v>
      </c>
      <c r="F101" s="14" t="s">
        <v>42</v>
      </c>
      <c r="G101" s="11" t="s">
        <v>482</v>
      </c>
      <c r="H101" s="11" t="s">
        <v>499</v>
      </c>
      <c r="I101" s="24" t="s">
        <v>17</v>
      </c>
      <c r="J101" s="13" t="s">
        <v>21</v>
      </c>
      <c r="K101" s="13"/>
      <c r="L101" s="32"/>
      <c r="M101" s="15">
        <v>215000</v>
      </c>
      <c r="N101" s="15">
        <f t="shared" si="37"/>
        <v>240800.00000000003</v>
      </c>
      <c r="O101" s="13" t="s">
        <v>32</v>
      </c>
      <c r="P101" s="17"/>
      <c r="Q101" s="17"/>
      <c r="R101" s="17"/>
      <c r="S101" s="17"/>
      <c r="T101" s="17"/>
      <c r="U101" s="17"/>
      <c r="V101" s="17"/>
      <c r="W101" s="17"/>
      <c r="X101" s="17"/>
      <c r="Y101" s="17"/>
      <c r="Z101" s="17"/>
    </row>
    <row r="102" spans="1:26" ht="98.25" customHeight="1" x14ac:dyDescent="0.25">
      <c r="A102" s="11">
        <v>88</v>
      </c>
      <c r="B102" s="12" t="s">
        <v>45</v>
      </c>
      <c r="C102" s="33" t="s">
        <v>139</v>
      </c>
      <c r="D102" s="14" t="s">
        <v>388</v>
      </c>
      <c r="E102" s="11" t="s">
        <v>20</v>
      </c>
      <c r="F102" s="14" t="s">
        <v>42</v>
      </c>
      <c r="G102" s="11" t="s">
        <v>482</v>
      </c>
      <c r="H102" s="11" t="s">
        <v>510</v>
      </c>
      <c r="I102" s="24" t="s">
        <v>17</v>
      </c>
      <c r="J102" s="13" t="s">
        <v>21</v>
      </c>
      <c r="K102" s="13"/>
      <c r="L102" s="32"/>
      <c r="M102" s="15">
        <v>48740</v>
      </c>
      <c r="N102" s="15">
        <f t="shared" ref="N102" si="40">M102*1.12</f>
        <v>54588.800000000003</v>
      </c>
      <c r="O102" s="13" t="s">
        <v>32</v>
      </c>
      <c r="P102" s="17"/>
      <c r="Q102" s="17"/>
      <c r="R102" s="17"/>
      <c r="S102" s="17"/>
      <c r="T102" s="17"/>
      <c r="U102" s="17"/>
      <c r="V102" s="17"/>
      <c r="W102" s="17"/>
      <c r="X102" s="17"/>
      <c r="Y102" s="17"/>
      <c r="Z102" s="17"/>
    </row>
    <row r="103" spans="1:26" ht="94.5" customHeight="1" x14ac:dyDescent="0.25">
      <c r="A103" s="11">
        <v>89</v>
      </c>
      <c r="B103" s="12" t="s">
        <v>45</v>
      </c>
      <c r="C103" s="33" t="s">
        <v>139</v>
      </c>
      <c r="D103" s="14" t="s">
        <v>207</v>
      </c>
      <c r="E103" s="11" t="s">
        <v>20</v>
      </c>
      <c r="F103" s="14" t="s">
        <v>42</v>
      </c>
      <c r="G103" s="11" t="s">
        <v>482</v>
      </c>
      <c r="H103" s="11" t="s">
        <v>500</v>
      </c>
      <c r="I103" s="24" t="s">
        <v>17</v>
      </c>
      <c r="J103" s="13" t="s">
        <v>107</v>
      </c>
      <c r="K103" s="13"/>
      <c r="L103" s="32"/>
      <c r="M103" s="15">
        <v>36000</v>
      </c>
      <c r="N103" s="15">
        <v>40320</v>
      </c>
      <c r="O103" s="13" t="s">
        <v>32</v>
      </c>
      <c r="P103" s="17"/>
      <c r="Q103" s="17"/>
      <c r="R103" s="17"/>
      <c r="S103" s="17"/>
      <c r="T103" s="17"/>
      <c r="U103" s="17"/>
      <c r="V103" s="17"/>
      <c r="W103" s="17"/>
      <c r="X103" s="17"/>
      <c r="Y103" s="17"/>
      <c r="Z103" s="17"/>
    </row>
    <row r="104" spans="1:26" ht="63.75" customHeight="1" x14ac:dyDescent="0.25">
      <c r="A104" s="11">
        <v>90</v>
      </c>
      <c r="B104" s="12" t="s">
        <v>45</v>
      </c>
      <c r="C104" s="40" t="s">
        <v>141</v>
      </c>
      <c r="D104" s="40" t="s">
        <v>141</v>
      </c>
      <c r="E104" s="11" t="s">
        <v>20</v>
      </c>
      <c r="F104" s="14" t="s">
        <v>42</v>
      </c>
      <c r="G104" s="11" t="s">
        <v>482</v>
      </c>
      <c r="H104" s="11" t="s">
        <v>142</v>
      </c>
      <c r="I104" s="24" t="s">
        <v>17</v>
      </c>
      <c r="J104" s="13" t="s">
        <v>107</v>
      </c>
      <c r="K104" s="13"/>
      <c r="L104" s="32"/>
      <c r="M104" s="15">
        <v>268970</v>
      </c>
      <c r="N104" s="15">
        <f t="shared" si="37"/>
        <v>301246.40000000002</v>
      </c>
      <c r="O104" s="16" t="s">
        <v>32</v>
      </c>
      <c r="P104" s="17"/>
      <c r="Q104" s="17"/>
      <c r="R104" s="17"/>
      <c r="S104" s="17"/>
      <c r="T104" s="17"/>
      <c r="U104" s="17"/>
      <c r="V104" s="17"/>
      <c r="W104" s="17"/>
      <c r="X104" s="17"/>
      <c r="Y104" s="17"/>
      <c r="Z104" s="17"/>
    </row>
    <row r="105" spans="1:26" ht="153.75" customHeight="1" x14ac:dyDescent="0.25">
      <c r="A105" s="11">
        <v>91</v>
      </c>
      <c r="B105" s="12" t="s">
        <v>45</v>
      </c>
      <c r="C105" s="33" t="s">
        <v>73</v>
      </c>
      <c r="D105" s="33" t="s">
        <v>74</v>
      </c>
      <c r="E105" s="11" t="s">
        <v>20</v>
      </c>
      <c r="F105" s="14" t="s">
        <v>42</v>
      </c>
      <c r="G105" s="11" t="s">
        <v>482</v>
      </c>
      <c r="H105" s="11" t="s">
        <v>501</v>
      </c>
      <c r="I105" s="24" t="s">
        <v>68</v>
      </c>
      <c r="J105" s="13" t="s">
        <v>107</v>
      </c>
      <c r="K105" s="13">
        <v>1220</v>
      </c>
      <c r="L105" s="18">
        <v>400</v>
      </c>
      <c r="M105" s="15">
        <f>L105*K105</f>
        <v>488000</v>
      </c>
      <c r="N105" s="15">
        <f t="shared" si="37"/>
        <v>546560</v>
      </c>
      <c r="O105" s="16" t="s">
        <v>32</v>
      </c>
      <c r="P105" s="17"/>
      <c r="Q105" s="17"/>
      <c r="R105" s="17"/>
      <c r="S105" s="17"/>
      <c r="T105" s="17"/>
      <c r="U105" s="17"/>
      <c r="V105" s="17"/>
      <c r="W105" s="17"/>
      <c r="X105" s="17"/>
      <c r="Y105" s="17"/>
      <c r="Z105" s="17"/>
    </row>
    <row r="106" spans="1:26" ht="153.75" customHeight="1" x14ac:dyDescent="0.25">
      <c r="A106" s="11">
        <v>92</v>
      </c>
      <c r="B106" s="12" t="s">
        <v>45</v>
      </c>
      <c r="C106" s="14" t="s">
        <v>143</v>
      </c>
      <c r="D106" s="24" t="s">
        <v>144</v>
      </c>
      <c r="E106" s="11" t="s">
        <v>20</v>
      </c>
      <c r="F106" s="14" t="s">
        <v>42</v>
      </c>
      <c r="G106" s="11" t="s">
        <v>482</v>
      </c>
      <c r="H106" s="11" t="s">
        <v>497</v>
      </c>
      <c r="I106" s="11" t="s">
        <v>41</v>
      </c>
      <c r="J106" s="13" t="s">
        <v>107</v>
      </c>
      <c r="K106" s="13">
        <v>58</v>
      </c>
      <c r="L106" s="13">
        <v>357.14</v>
      </c>
      <c r="M106" s="15">
        <f>L106*K106</f>
        <v>20714.12</v>
      </c>
      <c r="N106" s="15">
        <v>23520</v>
      </c>
      <c r="O106" s="16" t="s">
        <v>32</v>
      </c>
      <c r="P106" s="17"/>
      <c r="Q106" s="17"/>
      <c r="R106" s="17"/>
      <c r="S106" s="17"/>
      <c r="T106" s="17"/>
      <c r="U106" s="17"/>
      <c r="V106" s="17"/>
      <c r="W106" s="17"/>
      <c r="X106" s="17"/>
      <c r="Y106" s="17"/>
      <c r="Z106" s="17"/>
    </row>
    <row r="107" spans="1:26" ht="104.25" customHeight="1" x14ac:dyDescent="0.25">
      <c r="A107" s="11">
        <v>93</v>
      </c>
      <c r="B107" s="12" t="s">
        <v>45</v>
      </c>
      <c r="C107" s="33" t="s">
        <v>389</v>
      </c>
      <c r="D107" s="24" t="s">
        <v>144</v>
      </c>
      <c r="E107" s="11" t="s">
        <v>20</v>
      </c>
      <c r="F107" s="14" t="s">
        <v>42</v>
      </c>
      <c r="G107" s="11" t="s">
        <v>482</v>
      </c>
      <c r="H107" s="11" t="s">
        <v>500</v>
      </c>
      <c r="I107" s="24" t="s">
        <v>17</v>
      </c>
      <c r="J107" s="13" t="s">
        <v>310</v>
      </c>
      <c r="K107" s="18">
        <v>120</v>
      </c>
      <c r="L107" s="48">
        <v>400</v>
      </c>
      <c r="M107" s="32">
        <v>48000</v>
      </c>
      <c r="N107" s="15">
        <v>53760</v>
      </c>
      <c r="O107" s="13" t="s">
        <v>32</v>
      </c>
      <c r="P107" s="17"/>
      <c r="Q107" s="17"/>
      <c r="R107" s="17"/>
      <c r="S107" s="17"/>
      <c r="T107" s="17"/>
      <c r="U107" s="17"/>
      <c r="V107" s="17"/>
      <c r="W107" s="17"/>
      <c r="X107" s="17"/>
      <c r="Y107" s="17"/>
      <c r="Z107" s="17"/>
    </row>
    <row r="108" spans="1:26" ht="93" customHeight="1" x14ac:dyDescent="0.25">
      <c r="A108" s="11">
        <v>94</v>
      </c>
      <c r="B108" s="12" t="s">
        <v>45</v>
      </c>
      <c r="C108" s="33" t="s">
        <v>75</v>
      </c>
      <c r="D108" s="33" t="s">
        <v>76</v>
      </c>
      <c r="E108" s="11" t="s">
        <v>20</v>
      </c>
      <c r="F108" s="14" t="s">
        <v>42</v>
      </c>
      <c r="G108" s="11" t="s">
        <v>482</v>
      </c>
      <c r="H108" s="11" t="s">
        <v>501</v>
      </c>
      <c r="I108" s="24" t="s">
        <v>68</v>
      </c>
      <c r="J108" s="13" t="s">
        <v>107</v>
      </c>
      <c r="K108" s="13"/>
      <c r="L108" s="18"/>
      <c r="M108" s="15">
        <v>830357</v>
      </c>
      <c r="N108" s="15">
        <v>930000</v>
      </c>
      <c r="O108" s="16" t="s">
        <v>32</v>
      </c>
      <c r="P108" s="17"/>
      <c r="Q108" s="17"/>
      <c r="R108" s="17"/>
      <c r="S108" s="17"/>
      <c r="T108" s="17"/>
      <c r="U108" s="17"/>
      <c r="V108" s="17"/>
      <c r="W108" s="17"/>
      <c r="X108" s="17"/>
      <c r="Y108" s="17"/>
      <c r="Z108" s="17"/>
    </row>
    <row r="109" spans="1:26" ht="93" customHeight="1" x14ac:dyDescent="0.25">
      <c r="A109" s="11">
        <v>95</v>
      </c>
      <c r="B109" s="12" t="s">
        <v>45</v>
      </c>
      <c r="C109" s="33" t="s">
        <v>71</v>
      </c>
      <c r="D109" s="33" t="s">
        <v>159</v>
      </c>
      <c r="E109" s="11" t="s">
        <v>20</v>
      </c>
      <c r="F109" s="14" t="s">
        <v>42</v>
      </c>
      <c r="G109" s="11" t="s">
        <v>482</v>
      </c>
      <c r="H109" s="14" t="s">
        <v>161</v>
      </c>
      <c r="I109" s="24" t="s">
        <v>17</v>
      </c>
      <c r="J109" s="13" t="s">
        <v>107</v>
      </c>
      <c r="K109" s="13"/>
      <c r="L109" s="32"/>
      <c r="M109" s="15">
        <f>180000</f>
        <v>180000</v>
      </c>
      <c r="N109" s="15">
        <f t="shared" ref="N109:N112" si="41">M109*1.12</f>
        <v>201600.00000000003</v>
      </c>
      <c r="O109" s="16" t="s">
        <v>32</v>
      </c>
      <c r="P109" s="17"/>
      <c r="Q109" s="17"/>
      <c r="R109" s="17"/>
      <c r="S109" s="17"/>
      <c r="T109" s="17"/>
      <c r="U109" s="17"/>
      <c r="V109" s="17"/>
      <c r="W109" s="17"/>
      <c r="X109" s="17"/>
      <c r="Y109" s="17"/>
      <c r="Z109" s="17"/>
    </row>
    <row r="110" spans="1:26" ht="93" customHeight="1" x14ac:dyDescent="0.25">
      <c r="A110" s="11">
        <v>96</v>
      </c>
      <c r="B110" s="12" t="s">
        <v>45</v>
      </c>
      <c r="C110" s="14" t="s">
        <v>139</v>
      </c>
      <c r="D110" s="33" t="s">
        <v>160</v>
      </c>
      <c r="E110" s="11" t="s">
        <v>20</v>
      </c>
      <c r="F110" s="14" t="s">
        <v>42</v>
      </c>
      <c r="G110" s="11" t="s">
        <v>482</v>
      </c>
      <c r="H110" s="14" t="s">
        <v>161</v>
      </c>
      <c r="I110" s="24" t="s">
        <v>17</v>
      </c>
      <c r="J110" s="13" t="s">
        <v>107</v>
      </c>
      <c r="K110" s="13"/>
      <c r="L110" s="32"/>
      <c r="M110" s="15">
        <f>120000</f>
        <v>120000</v>
      </c>
      <c r="N110" s="15">
        <f t="shared" si="41"/>
        <v>134400</v>
      </c>
      <c r="O110" s="16" t="s">
        <v>32</v>
      </c>
      <c r="P110" s="17"/>
      <c r="Q110" s="17"/>
      <c r="R110" s="17"/>
      <c r="S110" s="17"/>
      <c r="T110" s="17"/>
      <c r="U110" s="17"/>
      <c r="V110" s="17"/>
      <c r="W110" s="17"/>
      <c r="X110" s="17"/>
      <c r="Y110" s="17"/>
      <c r="Z110" s="17"/>
    </row>
    <row r="111" spans="1:26" ht="132" customHeight="1" x14ac:dyDescent="0.25">
      <c r="A111" s="11">
        <v>97</v>
      </c>
      <c r="B111" s="12" t="s">
        <v>45</v>
      </c>
      <c r="C111" s="33" t="s">
        <v>162</v>
      </c>
      <c r="D111" s="33" t="s">
        <v>163</v>
      </c>
      <c r="E111" s="13" t="s">
        <v>20</v>
      </c>
      <c r="F111" s="14" t="s">
        <v>42</v>
      </c>
      <c r="G111" s="11" t="s">
        <v>482</v>
      </c>
      <c r="H111" s="11" t="s">
        <v>498</v>
      </c>
      <c r="I111" s="24" t="s">
        <v>17</v>
      </c>
      <c r="J111" s="13" t="s">
        <v>21</v>
      </c>
      <c r="K111" s="13">
        <v>3686</v>
      </c>
      <c r="L111" s="32">
        <v>156.25</v>
      </c>
      <c r="M111" s="15">
        <v>576000</v>
      </c>
      <c r="N111" s="15">
        <f t="shared" si="41"/>
        <v>645120.00000000012</v>
      </c>
      <c r="O111" s="16" t="s">
        <v>32</v>
      </c>
      <c r="P111" s="17"/>
      <c r="Q111" s="17"/>
      <c r="R111" s="17"/>
      <c r="S111" s="17"/>
      <c r="T111" s="17"/>
      <c r="U111" s="17"/>
      <c r="V111" s="17"/>
      <c r="W111" s="17"/>
      <c r="X111" s="17"/>
      <c r="Y111" s="17"/>
      <c r="Z111" s="17"/>
    </row>
    <row r="112" spans="1:26" ht="114.75" customHeight="1" x14ac:dyDescent="0.25">
      <c r="A112" s="11">
        <v>98</v>
      </c>
      <c r="B112" s="12" t="s">
        <v>45</v>
      </c>
      <c r="C112" s="33" t="s">
        <v>71</v>
      </c>
      <c r="D112" s="14" t="s">
        <v>164</v>
      </c>
      <c r="E112" s="11" t="s">
        <v>20</v>
      </c>
      <c r="F112" s="14" t="s">
        <v>42</v>
      </c>
      <c r="G112" s="11" t="s">
        <v>482</v>
      </c>
      <c r="H112" s="11" t="s">
        <v>498</v>
      </c>
      <c r="I112" s="11" t="s">
        <v>41</v>
      </c>
      <c r="J112" s="13" t="s">
        <v>107</v>
      </c>
      <c r="K112" s="13"/>
      <c r="L112" s="13"/>
      <c r="M112" s="15">
        <v>660000</v>
      </c>
      <c r="N112" s="15">
        <f t="shared" si="41"/>
        <v>739200.00000000012</v>
      </c>
      <c r="O112" s="16" t="s">
        <v>32</v>
      </c>
      <c r="P112" s="17"/>
      <c r="Q112" s="17"/>
      <c r="R112" s="17"/>
      <c r="S112" s="17"/>
      <c r="T112" s="17"/>
      <c r="U112" s="17"/>
      <c r="V112" s="17"/>
      <c r="W112" s="17"/>
      <c r="X112" s="17"/>
      <c r="Y112" s="17"/>
      <c r="Z112" s="17"/>
    </row>
    <row r="113" spans="1:26" ht="111" customHeight="1" x14ac:dyDescent="0.25">
      <c r="A113" s="11">
        <v>99</v>
      </c>
      <c r="B113" s="12" t="s">
        <v>45</v>
      </c>
      <c r="C113" s="33" t="s">
        <v>171</v>
      </c>
      <c r="D113" s="49" t="s">
        <v>172</v>
      </c>
      <c r="E113" s="11" t="s">
        <v>20</v>
      </c>
      <c r="F113" s="14" t="s">
        <v>42</v>
      </c>
      <c r="G113" s="11" t="s">
        <v>482</v>
      </c>
      <c r="H113" s="14" t="s">
        <v>323</v>
      </c>
      <c r="I113" s="11" t="s">
        <v>321</v>
      </c>
      <c r="J113" s="13" t="s">
        <v>107</v>
      </c>
      <c r="K113" s="13">
        <v>1</v>
      </c>
      <c r="L113" s="32">
        <v>2678.5714200000002</v>
      </c>
      <c r="M113" s="36">
        <f>K113*L113</f>
        <v>2678.5714200000002</v>
      </c>
      <c r="N113" s="16">
        <f t="shared" ref="N113:N119" si="42">M113*1.12</f>
        <v>2999.9999904000006</v>
      </c>
      <c r="O113" s="16" t="s">
        <v>32</v>
      </c>
      <c r="P113" s="17"/>
      <c r="Q113" s="17"/>
      <c r="R113" s="17"/>
      <c r="S113" s="17"/>
      <c r="T113" s="17"/>
      <c r="U113" s="17"/>
      <c r="V113" s="17"/>
      <c r="W113" s="17"/>
      <c r="X113" s="17"/>
      <c r="Y113" s="17"/>
      <c r="Z113" s="17"/>
    </row>
    <row r="114" spans="1:26" ht="110.25" customHeight="1" x14ac:dyDescent="0.25">
      <c r="A114" s="11">
        <v>100</v>
      </c>
      <c r="B114" s="12" t="s">
        <v>45</v>
      </c>
      <c r="C114" s="33" t="s">
        <v>171</v>
      </c>
      <c r="D114" s="49" t="s">
        <v>172</v>
      </c>
      <c r="E114" s="11" t="s">
        <v>20</v>
      </c>
      <c r="F114" s="14" t="s">
        <v>42</v>
      </c>
      <c r="G114" s="11" t="s">
        <v>482</v>
      </c>
      <c r="H114" s="14" t="s">
        <v>324</v>
      </c>
      <c r="I114" s="11" t="s">
        <v>321</v>
      </c>
      <c r="J114" s="13" t="s">
        <v>107</v>
      </c>
      <c r="K114" s="13">
        <v>1</v>
      </c>
      <c r="L114" s="32">
        <v>2678.5714200000002</v>
      </c>
      <c r="M114" s="36">
        <f>K114*L114</f>
        <v>2678.5714200000002</v>
      </c>
      <c r="N114" s="16">
        <f t="shared" si="42"/>
        <v>2999.9999904000006</v>
      </c>
      <c r="O114" s="16" t="s">
        <v>32</v>
      </c>
      <c r="P114" s="17"/>
      <c r="Q114" s="17"/>
      <c r="R114" s="17"/>
      <c r="S114" s="17"/>
      <c r="T114" s="17"/>
      <c r="U114" s="17"/>
      <c r="V114" s="17"/>
      <c r="W114" s="17"/>
      <c r="X114" s="17"/>
      <c r="Y114" s="17"/>
      <c r="Z114" s="17"/>
    </row>
    <row r="115" spans="1:26" ht="92.25" customHeight="1" x14ac:dyDescent="0.25">
      <c r="A115" s="11">
        <v>101</v>
      </c>
      <c r="B115" s="12" t="s">
        <v>45</v>
      </c>
      <c r="C115" s="33" t="s">
        <v>173</v>
      </c>
      <c r="D115" s="33" t="s">
        <v>174</v>
      </c>
      <c r="E115" s="11" t="s">
        <v>20</v>
      </c>
      <c r="F115" s="14" t="s">
        <v>42</v>
      </c>
      <c r="G115" s="11" t="s">
        <v>482</v>
      </c>
      <c r="H115" s="14" t="s">
        <v>323</v>
      </c>
      <c r="I115" s="11" t="s">
        <v>321</v>
      </c>
      <c r="J115" s="13" t="s">
        <v>107</v>
      </c>
      <c r="K115" s="13">
        <v>5</v>
      </c>
      <c r="L115" s="32">
        <f>2800/1.12</f>
        <v>2499.9999999999995</v>
      </c>
      <c r="M115" s="36">
        <f t="shared" ref="M115:M125" si="43">K115*L115</f>
        <v>12499.999999999998</v>
      </c>
      <c r="N115" s="16">
        <f t="shared" si="42"/>
        <v>14000</v>
      </c>
      <c r="O115" s="16" t="s">
        <v>32</v>
      </c>
      <c r="P115" s="17"/>
      <c r="Q115" s="17"/>
      <c r="R115" s="17"/>
      <c r="S115" s="17"/>
      <c r="T115" s="17"/>
      <c r="U115" s="17"/>
      <c r="V115" s="17"/>
      <c r="W115" s="17"/>
      <c r="X115" s="17"/>
      <c r="Y115" s="17"/>
      <c r="Z115" s="17"/>
    </row>
    <row r="116" spans="1:26" ht="115.5" customHeight="1" x14ac:dyDescent="0.25">
      <c r="A116" s="11">
        <v>102</v>
      </c>
      <c r="B116" s="12" t="s">
        <v>45</v>
      </c>
      <c r="C116" s="40" t="s">
        <v>175</v>
      </c>
      <c r="D116" s="40" t="s">
        <v>176</v>
      </c>
      <c r="E116" s="11" t="s">
        <v>20</v>
      </c>
      <c r="F116" s="14" t="s">
        <v>42</v>
      </c>
      <c r="G116" s="11" t="s">
        <v>482</v>
      </c>
      <c r="H116" s="14" t="s">
        <v>324</v>
      </c>
      <c r="I116" s="11" t="s">
        <v>321</v>
      </c>
      <c r="J116" s="13" t="s">
        <v>177</v>
      </c>
      <c r="K116" s="13">
        <v>2</v>
      </c>
      <c r="L116" s="32">
        <f>4730/1.12</f>
        <v>4223.2142857142853</v>
      </c>
      <c r="M116" s="36">
        <f t="shared" si="43"/>
        <v>8446.4285714285706</v>
      </c>
      <c r="N116" s="16">
        <f t="shared" si="42"/>
        <v>9460</v>
      </c>
      <c r="O116" s="16" t="s">
        <v>32</v>
      </c>
      <c r="P116" s="17"/>
      <c r="Q116" s="17"/>
      <c r="R116" s="17"/>
      <c r="S116" s="17"/>
      <c r="T116" s="17"/>
      <c r="U116" s="17"/>
      <c r="V116" s="17"/>
      <c r="W116" s="17"/>
      <c r="X116" s="17"/>
      <c r="Y116" s="17"/>
      <c r="Z116" s="17"/>
    </row>
    <row r="117" spans="1:26" ht="108" customHeight="1" x14ac:dyDescent="0.25">
      <c r="A117" s="11">
        <v>103</v>
      </c>
      <c r="B117" s="12" t="s">
        <v>45</v>
      </c>
      <c r="C117" s="40" t="s">
        <v>175</v>
      </c>
      <c r="D117" s="40" t="s">
        <v>176</v>
      </c>
      <c r="E117" s="11" t="s">
        <v>20</v>
      </c>
      <c r="F117" s="14" t="s">
        <v>42</v>
      </c>
      <c r="G117" s="11" t="s">
        <v>482</v>
      </c>
      <c r="H117" s="14" t="s">
        <v>323</v>
      </c>
      <c r="I117" s="11" t="s">
        <v>321</v>
      </c>
      <c r="J117" s="13" t="s">
        <v>177</v>
      </c>
      <c r="K117" s="13">
        <v>3</v>
      </c>
      <c r="L117" s="32">
        <f>4730/1.12</f>
        <v>4223.2142857142853</v>
      </c>
      <c r="M117" s="36">
        <f>K117*L117</f>
        <v>12669.642857142855</v>
      </c>
      <c r="N117" s="16">
        <f t="shared" si="42"/>
        <v>14189.999999999998</v>
      </c>
      <c r="O117" s="16" t="s">
        <v>32</v>
      </c>
      <c r="P117" s="17"/>
      <c r="Q117" s="17"/>
      <c r="R117" s="17"/>
      <c r="S117" s="17"/>
      <c r="T117" s="17"/>
      <c r="U117" s="17"/>
      <c r="V117" s="17"/>
      <c r="W117" s="17"/>
      <c r="X117" s="17"/>
      <c r="Y117" s="17"/>
      <c r="Z117" s="17"/>
    </row>
    <row r="118" spans="1:26" ht="100.5" customHeight="1" x14ac:dyDescent="0.25">
      <c r="A118" s="11">
        <v>104</v>
      </c>
      <c r="B118" s="12" t="s">
        <v>45</v>
      </c>
      <c r="C118" s="40" t="s">
        <v>178</v>
      </c>
      <c r="D118" s="14" t="s">
        <v>179</v>
      </c>
      <c r="E118" s="11" t="s">
        <v>20</v>
      </c>
      <c r="F118" s="14" t="s">
        <v>42</v>
      </c>
      <c r="G118" s="11" t="s">
        <v>482</v>
      </c>
      <c r="H118" s="14" t="s">
        <v>324</v>
      </c>
      <c r="I118" s="11" t="s">
        <v>321</v>
      </c>
      <c r="J118" s="13" t="s">
        <v>107</v>
      </c>
      <c r="K118" s="13">
        <v>5</v>
      </c>
      <c r="L118" s="32">
        <f>2800/1.12</f>
        <v>2499.9999999999995</v>
      </c>
      <c r="M118" s="36">
        <f t="shared" si="43"/>
        <v>12499.999999999998</v>
      </c>
      <c r="N118" s="16">
        <f t="shared" si="42"/>
        <v>14000</v>
      </c>
      <c r="O118" s="16" t="s">
        <v>32</v>
      </c>
      <c r="P118" s="17"/>
      <c r="Q118" s="17"/>
      <c r="R118" s="17"/>
      <c r="S118" s="17"/>
      <c r="T118" s="17"/>
      <c r="U118" s="17"/>
      <c r="V118" s="17"/>
      <c r="W118" s="17"/>
      <c r="X118" s="17"/>
      <c r="Y118" s="17"/>
      <c r="Z118" s="17"/>
    </row>
    <row r="119" spans="1:26" ht="106.5" customHeight="1" x14ac:dyDescent="0.25">
      <c r="A119" s="11">
        <v>105</v>
      </c>
      <c r="B119" s="12" t="s">
        <v>45</v>
      </c>
      <c r="C119" s="40" t="s">
        <v>180</v>
      </c>
      <c r="D119" s="33" t="s">
        <v>181</v>
      </c>
      <c r="E119" s="11" t="s">
        <v>20</v>
      </c>
      <c r="F119" s="14" t="s">
        <v>42</v>
      </c>
      <c r="G119" s="11" t="s">
        <v>482</v>
      </c>
      <c r="H119" s="14" t="s">
        <v>324</v>
      </c>
      <c r="I119" s="11" t="s">
        <v>321</v>
      </c>
      <c r="J119" s="13" t="s">
        <v>177</v>
      </c>
      <c r="K119" s="13">
        <v>6</v>
      </c>
      <c r="L119" s="32">
        <v>200</v>
      </c>
      <c r="M119" s="36">
        <f t="shared" si="43"/>
        <v>1200</v>
      </c>
      <c r="N119" s="16">
        <f t="shared" si="42"/>
        <v>1344.0000000000002</v>
      </c>
      <c r="O119" s="16" t="s">
        <v>32</v>
      </c>
      <c r="P119" s="17"/>
      <c r="Q119" s="17"/>
      <c r="R119" s="17"/>
      <c r="S119" s="17"/>
      <c r="T119" s="17"/>
      <c r="U119" s="17"/>
      <c r="V119" s="17"/>
      <c r="W119" s="17"/>
      <c r="X119" s="17"/>
      <c r="Y119" s="17"/>
      <c r="Z119" s="17"/>
    </row>
    <row r="120" spans="1:26" ht="111.75" customHeight="1" x14ac:dyDescent="0.25">
      <c r="A120" s="11">
        <v>106</v>
      </c>
      <c r="B120" s="12" t="s">
        <v>45</v>
      </c>
      <c r="C120" s="33" t="s">
        <v>182</v>
      </c>
      <c r="D120" s="33" t="s">
        <v>183</v>
      </c>
      <c r="E120" s="11" t="s">
        <v>20</v>
      </c>
      <c r="F120" s="14" t="s">
        <v>42</v>
      </c>
      <c r="G120" s="11" t="s">
        <v>482</v>
      </c>
      <c r="H120" s="14" t="s">
        <v>324</v>
      </c>
      <c r="I120" s="11" t="s">
        <v>41</v>
      </c>
      <c r="J120" s="13" t="s">
        <v>177</v>
      </c>
      <c r="K120" s="13">
        <v>192</v>
      </c>
      <c r="L120" s="32">
        <v>419.64</v>
      </c>
      <c r="M120" s="36">
        <f>K120*L120</f>
        <v>80570.880000000005</v>
      </c>
      <c r="N120" s="27">
        <f t="shared" ref="N120:N151" si="44">M120*1.12</f>
        <v>90239.385600000009</v>
      </c>
      <c r="O120" s="13" t="s">
        <v>32</v>
      </c>
      <c r="P120" s="17"/>
      <c r="Q120" s="17"/>
      <c r="R120" s="17"/>
      <c r="S120" s="17"/>
      <c r="T120" s="17"/>
      <c r="U120" s="17"/>
      <c r="V120" s="17"/>
      <c r="W120" s="17"/>
      <c r="X120" s="17"/>
      <c r="Y120" s="17"/>
      <c r="Z120" s="17"/>
    </row>
    <row r="121" spans="1:26" ht="111.75" customHeight="1" x14ac:dyDescent="0.25">
      <c r="A121" s="11">
        <v>107</v>
      </c>
      <c r="B121" s="12" t="s">
        <v>45</v>
      </c>
      <c r="C121" s="33" t="s">
        <v>184</v>
      </c>
      <c r="D121" s="33" t="s">
        <v>185</v>
      </c>
      <c r="E121" s="11" t="s">
        <v>20</v>
      </c>
      <c r="F121" s="14" t="s">
        <v>42</v>
      </c>
      <c r="G121" s="11" t="s">
        <v>482</v>
      </c>
      <c r="H121" s="14" t="s">
        <v>324</v>
      </c>
      <c r="I121" s="11" t="s">
        <v>41</v>
      </c>
      <c r="J121" s="13" t="s">
        <v>177</v>
      </c>
      <c r="K121" s="13">
        <v>72</v>
      </c>
      <c r="L121" s="32">
        <v>638.39285700000005</v>
      </c>
      <c r="M121" s="36">
        <f t="shared" si="43"/>
        <v>45964.285704000002</v>
      </c>
      <c r="N121" s="27">
        <f t="shared" si="44"/>
        <v>51479.999988480005</v>
      </c>
      <c r="O121" s="13" t="s">
        <v>32</v>
      </c>
      <c r="P121" s="17"/>
      <c r="Q121" s="17"/>
      <c r="R121" s="17"/>
      <c r="S121" s="17"/>
      <c r="T121" s="17"/>
      <c r="U121" s="17"/>
      <c r="V121" s="17"/>
      <c r="W121" s="17"/>
      <c r="X121" s="17"/>
      <c r="Y121" s="17"/>
      <c r="Z121" s="17"/>
    </row>
    <row r="122" spans="1:26" ht="98.25" customHeight="1" x14ac:dyDescent="0.25">
      <c r="A122" s="11">
        <v>108</v>
      </c>
      <c r="B122" s="12" t="s">
        <v>45</v>
      </c>
      <c r="C122" s="33" t="s">
        <v>182</v>
      </c>
      <c r="D122" s="33" t="s">
        <v>183</v>
      </c>
      <c r="E122" s="11" t="s">
        <v>20</v>
      </c>
      <c r="F122" s="14" t="s">
        <v>42</v>
      </c>
      <c r="G122" s="11" t="s">
        <v>482</v>
      </c>
      <c r="H122" s="14" t="s">
        <v>323</v>
      </c>
      <c r="I122" s="11" t="s">
        <v>41</v>
      </c>
      <c r="J122" s="13" t="s">
        <v>177</v>
      </c>
      <c r="K122" s="13">
        <v>51</v>
      </c>
      <c r="L122" s="32">
        <v>419.64</v>
      </c>
      <c r="M122" s="36">
        <f t="shared" si="43"/>
        <v>21401.64</v>
      </c>
      <c r="N122" s="27">
        <f t="shared" si="44"/>
        <v>23969.836800000001</v>
      </c>
      <c r="O122" s="13" t="s">
        <v>32</v>
      </c>
      <c r="P122" s="17"/>
      <c r="Q122" s="17"/>
      <c r="R122" s="17"/>
      <c r="S122" s="17"/>
      <c r="T122" s="17"/>
      <c r="U122" s="17"/>
      <c r="V122" s="17"/>
      <c r="W122" s="17"/>
      <c r="X122" s="17"/>
      <c r="Y122" s="17"/>
      <c r="Z122" s="17"/>
    </row>
    <row r="123" spans="1:26" ht="93" customHeight="1" x14ac:dyDescent="0.25">
      <c r="A123" s="11">
        <v>109</v>
      </c>
      <c r="B123" s="12" t="s">
        <v>45</v>
      </c>
      <c r="C123" s="33" t="s">
        <v>184</v>
      </c>
      <c r="D123" s="33" t="s">
        <v>185</v>
      </c>
      <c r="E123" s="11" t="s">
        <v>20</v>
      </c>
      <c r="F123" s="14" t="s">
        <v>42</v>
      </c>
      <c r="G123" s="11" t="s">
        <v>482</v>
      </c>
      <c r="H123" s="14" t="s">
        <v>323</v>
      </c>
      <c r="I123" s="11" t="s">
        <v>41</v>
      </c>
      <c r="J123" s="13" t="s">
        <v>177</v>
      </c>
      <c r="K123" s="13">
        <v>21</v>
      </c>
      <c r="L123" s="32">
        <v>638.39285700000005</v>
      </c>
      <c r="M123" s="36">
        <f>K123*L123</f>
        <v>13406.249997000001</v>
      </c>
      <c r="N123" s="27">
        <f t="shared" si="44"/>
        <v>15014.999996640003</v>
      </c>
      <c r="O123" s="13" t="s">
        <v>32</v>
      </c>
      <c r="P123" s="17"/>
      <c r="Q123" s="17"/>
      <c r="R123" s="17"/>
      <c r="S123" s="17"/>
      <c r="T123" s="17"/>
      <c r="U123" s="17"/>
      <c r="V123" s="17"/>
      <c r="W123" s="17"/>
      <c r="X123" s="17"/>
      <c r="Y123" s="17"/>
      <c r="Z123" s="17"/>
    </row>
    <row r="124" spans="1:26" ht="96.75" customHeight="1" x14ac:dyDescent="0.25">
      <c r="A124" s="11">
        <v>110</v>
      </c>
      <c r="B124" s="12" t="s">
        <v>45</v>
      </c>
      <c r="C124" s="33" t="s">
        <v>186</v>
      </c>
      <c r="D124" s="49" t="s">
        <v>187</v>
      </c>
      <c r="E124" s="11" t="s">
        <v>20</v>
      </c>
      <c r="F124" s="14" t="s">
        <v>42</v>
      </c>
      <c r="G124" s="11" t="s">
        <v>482</v>
      </c>
      <c r="H124" s="14" t="s">
        <v>324</v>
      </c>
      <c r="I124" s="11" t="s">
        <v>41</v>
      </c>
      <c r="J124" s="13" t="s">
        <v>177</v>
      </c>
      <c r="K124" s="13">
        <v>1</v>
      </c>
      <c r="L124" s="32">
        <f>2070/1.12</f>
        <v>1848.2142857142856</v>
      </c>
      <c r="M124" s="36">
        <f t="shared" si="43"/>
        <v>1848.2142857142856</v>
      </c>
      <c r="N124" s="27">
        <f t="shared" si="44"/>
        <v>2070</v>
      </c>
      <c r="O124" s="13" t="s">
        <v>32</v>
      </c>
      <c r="P124" s="17"/>
      <c r="Q124" s="17"/>
      <c r="R124" s="17"/>
      <c r="S124" s="17"/>
      <c r="T124" s="17"/>
      <c r="U124" s="17"/>
      <c r="V124" s="17"/>
      <c r="W124" s="17"/>
      <c r="X124" s="17"/>
      <c r="Y124" s="17"/>
      <c r="Z124" s="17"/>
    </row>
    <row r="125" spans="1:26" ht="98.25" customHeight="1" x14ac:dyDescent="0.25">
      <c r="A125" s="11">
        <v>111</v>
      </c>
      <c r="B125" s="12" t="s">
        <v>45</v>
      </c>
      <c r="C125" s="33" t="s">
        <v>186</v>
      </c>
      <c r="D125" s="49" t="s">
        <v>187</v>
      </c>
      <c r="E125" s="11" t="s">
        <v>20</v>
      </c>
      <c r="F125" s="14" t="s">
        <v>42</v>
      </c>
      <c r="G125" s="11" t="s">
        <v>482</v>
      </c>
      <c r="H125" s="14" t="s">
        <v>323</v>
      </c>
      <c r="I125" s="11" t="s">
        <v>41</v>
      </c>
      <c r="J125" s="13" t="s">
        <v>177</v>
      </c>
      <c r="K125" s="13">
        <v>3</v>
      </c>
      <c r="L125" s="32">
        <f>2070/1.12</f>
        <v>1848.2142857142856</v>
      </c>
      <c r="M125" s="36">
        <f t="shared" si="43"/>
        <v>5544.6428571428569</v>
      </c>
      <c r="N125" s="27">
        <f t="shared" si="44"/>
        <v>6210</v>
      </c>
      <c r="O125" s="13" t="s">
        <v>32</v>
      </c>
      <c r="P125" s="17"/>
      <c r="Q125" s="17"/>
      <c r="R125" s="17"/>
      <c r="S125" s="17"/>
      <c r="T125" s="17"/>
      <c r="U125" s="17"/>
      <c r="V125" s="17"/>
      <c r="W125" s="17"/>
      <c r="X125" s="17"/>
      <c r="Y125" s="17"/>
      <c r="Z125" s="17"/>
    </row>
    <row r="126" spans="1:26" ht="98.25" customHeight="1" x14ac:dyDescent="0.25">
      <c r="A126" s="11">
        <v>112</v>
      </c>
      <c r="B126" s="12" t="s">
        <v>45</v>
      </c>
      <c r="C126" s="14" t="s">
        <v>245</v>
      </c>
      <c r="D126" s="14" t="s">
        <v>246</v>
      </c>
      <c r="E126" s="11" t="s">
        <v>20</v>
      </c>
      <c r="F126" s="14" t="s">
        <v>42</v>
      </c>
      <c r="G126" s="11" t="s">
        <v>482</v>
      </c>
      <c r="H126" s="14" t="s">
        <v>324</v>
      </c>
      <c r="I126" s="11" t="s">
        <v>321</v>
      </c>
      <c r="J126" s="14" t="s">
        <v>107</v>
      </c>
      <c r="K126" s="14">
        <v>10</v>
      </c>
      <c r="L126" s="50">
        <f>14710/1.12</f>
        <v>13133.928571428571</v>
      </c>
      <c r="M126" s="50">
        <f t="shared" ref="M126:M146" si="45">L126*K126</f>
        <v>131339.28571428571</v>
      </c>
      <c r="N126" s="50">
        <f t="shared" si="44"/>
        <v>147100</v>
      </c>
      <c r="O126" s="13" t="s">
        <v>32</v>
      </c>
      <c r="P126" s="17"/>
      <c r="Q126" s="17"/>
      <c r="R126" s="17"/>
      <c r="S126" s="17"/>
      <c r="T126" s="17"/>
      <c r="U126" s="17"/>
      <c r="V126" s="17"/>
      <c r="W126" s="17"/>
      <c r="X126" s="17"/>
      <c r="Y126" s="17"/>
      <c r="Z126" s="17"/>
    </row>
    <row r="127" spans="1:26" ht="97.5" customHeight="1" x14ac:dyDescent="0.25">
      <c r="A127" s="11">
        <v>113</v>
      </c>
      <c r="B127" s="12" t="s">
        <v>45</v>
      </c>
      <c r="C127" s="14" t="s">
        <v>247</v>
      </c>
      <c r="D127" s="14" t="s">
        <v>248</v>
      </c>
      <c r="E127" s="11" t="s">
        <v>20</v>
      </c>
      <c r="F127" s="14" t="s">
        <v>42</v>
      </c>
      <c r="G127" s="11" t="s">
        <v>482</v>
      </c>
      <c r="H127" s="14" t="s">
        <v>324</v>
      </c>
      <c r="I127" s="11" t="s">
        <v>321</v>
      </c>
      <c r="J127" s="14" t="s">
        <v>107</v>
      </c>
      <c r="K127" s="14">
        <v>10</v>
      </c>
      <c r="L127" s="50">
        <f>9450/1.12</f>
        <v>8437.5</v>
      </c>
      <c r="M127" s="50">
        <f t="shared" si="45"/>
        <v>84375</v>
      </c>
      <c r="N127" s="50">
        <f t="shared" si="44"/>
        <v>94500.000000000015</v>
      </c>
      <c r="O127" s="13" t="s">
        <v>32</v>
      </c>
      <c r="P127" s="17"/>
      <c r="Q127" s="17"/>
      <c r="R127" s="17"/>
      <c r="S127" s="17"/>
      <c r="T127" s="17"/>
      <c r="U127" s="17"/>
      <c r="V127" s="17"/>
      <c r="W127" s="17"/>
      <c r="X127" s="17"/>
      <c r="Y127" s="17"/>
      <c r="Z127" s="17"/>
    </row>
    <row r="128" spans="1:26" ht="100.5" customHeight="1" x14ac:dyDescent="0.25">
      <c r="A128" s="11">
        <v>114</v>
      </c>
      <c r="B128" s="12" t="s">
        <v>45</v>
      </c>
      <c r="C128" s="14" t="s">
        <v>249</v>
      </c>
      <c r="D128" s="14" t="s">
        <v>250</v>
      </c>
      <c r="E128" s="11" t="s">
        <v>20</v>
      </c>
      <c r="F128" s="14" t="s">
        <v>42</v>
      </c>
      <c r="G128" s="11" t="s">
        <v>482</v>
      </c>
      <c r="H128" s="14" t="s">
        <v>324</v>
      </c>
      <c r="I128" s="11" t="s">
        <v>321</v>
      </c>
      <c r="J128" s="14" t="s">
        <v>107</v>
      </c>
      <c r="K128" s="14">
        <v>10</v>
      </c>
      <c r="L128" s="50">
        <f>8550/1.12</f>
        <v>7633.9285714285706</v>
      </c>
      <c r="M128" s="50">
        <f t="shared" si="45"/>
        <v>76339.28571428571</v>
      </c>
      <c r="N128" s="50">
        <f t="shared" si="44"/>
        <v>85500</v>
      </c>
      <c r="O128" s="13" t="s">
        <v>32</v>
      </c>
      <c r="P128" s="17"/>
      <c r="Q128" s="17"/>
      <c r="R128" s="17"/>
      <c r="S128" s="17"/>
      <c r="T128" s="17"/>
      <c r="U128" s="17"/>
      <c r="V128" s="17"/>
      <c r="W128" s="17"/>
      <c r="X128" s="17"/>
      <c r="Y128" s="17"/>
      <c r="Z128" s="17"/>
    </row>
    <row r="129" spans="1:26" ht="103.5" customHeight="1" x14ac:dyDescent="0.25">
      <c r="A129" s="11">
        <v>115</v>
      </c>
      <c r="B129" s="12" t="s">
        <v>45</v>
      </c>
      <c r="C129" s="14" t="s">
        <v>251</v>
      </c>
      <c r="D129" s="14" t="s">
        <v>252</v>
      </c>
      <c r="E129" s="11" t="s">
        <v>20</v>
      </c>
      <c r="F129" s="14" t="s">
        <v>42</v>
      </c>
      <c r="G129" s="11" t="s">
        <v>482</v>
      </c>
      <c r="H129" s="14" t="s">
        <v>324</v>
      </c>
      <c r="I129" s="11" t="s">
        <v>321</v>
      </c>
      <c r="J129" s="14" t="s">
        <v>107</v>
      </c>
      <c r="K129" s="14">
        <v>10</v>
      </c>
      <c r="L129" s="50">
        <f>4360/1.12</f>
        <v>3892.8571428571427</v>
      </c>
      <c r="M129" s="50">
        <f>L129*K129</f>
        <v>38928.571428571428</v>
      </c>
      <c r="N129" s="50">
        <f>M129*1.12</f>
        <v>43600</v>
      </c>
      <c r="O129" s="13" t="s">
        <v>32</v>
      </c>
      <c r="P129" s="17"/>
      <c r="Q129" s="17"/>
      <c r="R129" s="17"/>
      <c r="S129" s="17"/>
      <c r="T129" s="17"/>
      <c r="U129" s="17"/>
      <c r="V129" s="17"/>
      <c r="W129" s="17"/>
      <c r="X129" s="17"/>
      <c r="Y129" s="17"/>
      <c r="Z129" s="17"/>
    </row>
    <row r="130" spans="1:26" ht="98.25" customHeight="1" x14ac:dyDescent="0.25">
      <c r="A130" s="11">
        <v>116</v>
      </c>
      <c r="B130" s="12" t="s">
        <v>45</v>
      </c>
      <c r="C130" s="14" t="s">
        <v>253</v>
      </c>
      <c r="D130" s="14" t="s">
        <v>254</v>
      </c>
      <c r="E130" s="11" t="s">
        <v>20</v>
      </c>
      <c r="F130" s="14" t="s">
        <v>42</v>
      </c>
      <c r="G130" s="11" t="s">
        <v>482</v>
      </c>
      <c r="H130" s="14" t="s">
        <v>324</v>
      </c>
      <c r="I130" s="11" t="s">
        <v>321</v>
      </c>
      <c r="J130" s="14" t="s">
        <v>107</v>
      </c>
      <c r="K130" s="14">
        <v>1</v>
      </c>
      <c r="L130" s="50">
        <f>278000/1.12</f>
        <v>248214.28571428568</v>
      </c>
      <c r="M130" s="50">
        <f t="shared" si="45"/>
        <v>248214.28571428568</v>
      </c>
      <c r="N130" s="50">
        <f t="shared" si="44"/>
        <v>278000</v>
      </c>
      <c r="O130" s="13" t="s">
        <v>32</v>
      </c>
      <c r="P130" s="17"/>
      <c r="Q130" s="17"/>
      <c r="R130" s="17"/>
      <c r="S130" s="17"/>
      <c r="T130" s="17"/>
      <c r="U130" s="17"/>
      <c r="V130" s="17"/>
      <c r="W130" s="17"/>
      <c r="X130" s="17"/>
      <c r="Y130" s="17"/>
      <c r="Z130" s="17"/>
    </row>
    <row r="131" spans="1:26" ht="96" customHeight="1" x14ac:dyDescent="0.25">
      <c r="A131" s="11">
        <v>117</v>
      </c>
      <c r="B131" s="12" t="s">
        <v>45</v>
      </c>
      <c r="C131" s="40" t="s">
        <v>255</v>
      </c>
      <c r="D131" s="40" t="s">
        <v>255</v>
      </c>
      <c r="E131" s="11" t="s">
        <v>20</v>
      </c>
      <c r="F131" s="14" t="s">
        <v>42</v>
      </c>
      <c r="G131" s="11" t="s">
        <v>482</v>
      </c>
      <c r="H131" s="14" t="s">
        <v>324</v>
      </c>
      <c r="I131" s="11" t="s">
        <v>321</v>
      </c>
      <c r="J131" s="14" t="s">
        <v>107</v>
      </c>
      <c r="K131" s="14">
        <v>6</v>
      </c>
      <c r="L131" s="50">
        <f>245/1.12</f>
        <v>218.74999999999997</v>
      </c>
      <c r="M131" s="50">
        <f t="shared" si="45"/>
        <v>1312.4999999999998</v>
      </c>
      <c r="N131" s="50">
        <f t="shared" si="44"/>
        <v>1469.9999999999998</v>
      </c>
      <c r="O131" s="13" t="s">
        <v>32</v>
      </c>
      <c r="P131" s="17"/>
      <c r="Q131" s="17"/>
      <c r="R131" s="17"/>
      <c r="S131" s="17"/>
      <c r="T131" s="17"/>
      <c r="U131" s="17"/>
      <c r="V131" s="17"/>
      <c r="W131" s="17"/>
      <c r="X131" s="17"/>
      <c r="Y131" s="17"/>
      <c r="Z131" s="17"/>
    </row>
    <row r="132" spans="1:26" ht="96" customHeight="1" x14ac:dyDescent="0.25">
      <c r="A132" s="11">
        <v>118</v>
      </c>
      <c r="B132" s="12" t="s">
        <v>45</v>
      </c>
      <c r="C132" s="40" t="s">
        <v>256</v>
      </c>
      <c r="D132" s="40" t="s">
        <v>256</v>
      </c>
      <c r="E132" s="11" t="s">
        <v>20</v>
      </c>
      <c r="F132" s="14" t="s">
        <v>42</v>
      </c>
      <c r="G132" s="11" t="s">
        <v>482</v>
      </c>
      <c r="H132" s="14" t="s">
        <v>324</v>
      </c>
      <c r="I132" s="11" t="s">
        <v>321</v>
      </c>
      <c r="J132" s="14" t="s">
        <v>107</v>
      </c>
      <c r="K132" s="14">
        <v>43</v>
      </c>
      <c r="L132" s="50">
        <v>736.6</v>
      </c>
      <c r="M132" s="50">
        <f t="shared" si="45"/>
        <v>31673.8</v>
      </c>
      <c r="N132" s="50">
        <f t="shared" si="44"/>
        <v>35474.656000000003</v>
      </c>
      <c r="O132" s="13" t="s">
        <v>32</v>
      </c>
      <c r="P132" s="17"/>
      <c r="Q132" s="17"/>
      <c r="R132" s="17"/>
      <c r="S132" s="17"/>
      <c r="T132" s="17"/>
      <c r="U132" s="17"/>
      <c r="V132" s="17"/>
      <c r="W132" s="17"/>
      <c r="X132" s="17"/>
      <c r="Y132" s="17"/>
      <c r="Z132" s="17"/>
    </row>
    <row r="133" spans="1:26" ht="102" customHeight="1" x14ac:dyDescent="0.25">
      <c r="A133" s="11">
        <v>119</v>
      </c>
      <c r="B133" s="12" t="s">
        <v>45</v>
      </c>
      <c r="C133" s="40" t="s">
        <v>257</v>
      </c>
      <c r="D133" s="40" t="s">
        <v>258</v>
      </c>
      <c r="E133" s="11" t="s">
        <v>20</v>
      </c>
      <c r="F133" s="14" t="s">
        <v>42</v>
      </c>
      <c r="G133" s="11" t="s">
        <v>482</v>
      </c>
      <c r="H133" s="14" t="s">
        <v>324</v>
      </c>
      <c r="I133" s="11" t="s">
        <v>321</v>
      </c>
      <c r="J133" s="14" t="s">
        <v>107</v>
      </c>
      <c r="K133" s="14">
        <v>96</v>
      </c>
      <c r="L133" s="50">
        <f>1100/1.12</f>
        <v>982.142857142857</v>
      </c>
      <c r="M133" s="50">
        <f t="shared" si="45"/>
        <v>94285.714285714275</v>
      </c>
      <c r="N133" s="50">
        <f t="shared" si="44"/>
        <v>105600</v>
      </c>
      <c r="O133" s="13" t="s">
        <v>32</v>
      </c>
      <c r="P133" s="17"/>
      <c r="Q133" s="17"/>
      <c r="R133" s="17"/>
      <c r="S133" s="17"/>
      <c r="T133" s="17"/>
      <c r="U133" s="17"/>
      <c r="V133" s="17"/>
      <c r="W133" s="17"/>
      <c r="X133" s="17"/>
      <c r="Y133" s="17"/>
      <c r="Z133" s="17"/>
    </row>
    <row r="134" spans="1:26" ht="102" customHeight="1" x14ac:dyDescent="0.25">
      <c r="A134" s="11">
        <v>120</v>
      </c>
      <c r="B134" s="12" t="s">
        <v>45</v>
      </c>
      <c r="C134" s="40" t="s">
        <v>259</v>
      </c>
      <c r="D134" s="40" t="s">
        <v>260</v>
      </c>
      <c r="E134" s="11" t="s">
        <v>20</v>
      </c>
      <c r="F134" s="14" t="s">
        <v>42</v>
      </c>
      <c r="G134" s="11" t="s">
        <v>482</v>
      </c>
      <c r="H134" s="14" t="s">
        <v>324</v>
      </c>
      <c r="I134" s="11" t="s">
        <v>321</v>
      </c>
      <c r="J134" s="14" t="s">
        <v>107</v>
      </c>
      <c r="K134" s="14">
        <v>20</v>
      </c>
      <c r="L134" s="50">
        <f>1850/1.12</f>
        <v>1651.7857142857142</v>
      </c>
      <c r="M134" s="50">
        <f t="shared" si="45"/>
        <v>33035.714285714283</v>
      </c>
      <c r="N134" s="50">
        <f t="shared" si="44"/>
        <v>37000</v>
      </c>
      <c r="O134" s="13" t="s">
        <v>32</v>
      </c>
      <c r="P134" s="17"/>
      <c r="Q134" s="17"/>
      <c r="R134" s="17"/>
      <c r="S134" s="17"/>
      <c r="T134" s="17"/>
      <c r="U134" s="17"/>
      <c r="V134" s="17"/>
      <c r="W134" s="17"/>
      <c r="X134" s="17"/>
      <c r="Y134" s="17"/>
      <c r="Z134" s="17"/>
    </row>
    <row r="135" spans="1:26" ht="103.5" customHeight="1" x14ac:dyDescent="0.25">
      <c r="A135" s="11">
        <v>121</v>
      </c>
      <c r="B135" s="12" t="s">
        <v>45</v>
      </c>
      <c r="C135" s="40" t="s">
        <v>261</v>
      </c>
      <c r="D135" s="40" t="s">
        <v>262</v>
      </c>
      <c r="E135" s="11" t="s">
        <v>20</v>
      </c>
      <c r="F135" s="14" t="s">
        <v>42</v>
      </c>
      <c r="G135" s="11" t="s">
        <v>482</v>
      </c>
      <c r="H135" s="14" t="s">
        <v>324</v>
      </c>
      <c r="I135" s="11" t="s">
        <v>321</v>
      </c>
      <c r="J135" s="14" t="s">
        <v>107</v>
      </c>
      <c r="K135" s="14">
        <v>2</v>
      </c>
      <c r="L135" s="50">
        <v>8035.7142857141998</v>
      </c>
      <c r="M135" s="50">
        <f t="shared" si="45"/>
        <v>16071.4285714284</v>
      </c>
      <c r="N135" s="50">
        <f t="shared" si="44"/>
        <v>17999.999999999811</v>
      </c>
      <c r="O135" s="13" t="s">
        <v>32</v>
      </c>
      <c r="P135" s="17"/>
      <c r="Q135" s="17"/>
      <c r="R135" s="17"/>
      <c r="S135" s="17"/>
      <c r="T135" s="17"/>
      <c r="U135" s="17"/>
      <c r="V135" s="17"/>
      <c r="W135" s="17"/>
      <c r="X135" s="17"/>
      <c r="Y135" s="17"/>
      <c r="Z135" s="17"/>
    </row>
    <row r="136" spans="1:26" ht="116.25" customHeight="1" x14ac:dyDescent="0.25">
      <c r="A136" s="11">
        <v>122</v>
      </c>
      <c r="B136" s="12" t="s">
        <v>45</v>
      </c>
      <c r="C136" s="40" t="s">
        <v>263</v>
      </c>
      <c r="D136" s="40" t="s">
        <v>264</v>
      </c>
      <c r="E136" s="11" t="s">
        <v>20</v>
      </c>
      <c r="F136" s="14" t="s">
        <v>42</v>
      </c>
      <c r="G136" s="11" t="s">
        <v>482</v>
      </c>
      <c r="H136" s="14" t="s">
        <v>324</v>
      </c>
      <c r="I136" s="11" t="s">
        <v>321</v>
      </c>
      <c r="J136" s="14" t="s">
        <v>107</v>
      </c>
      <c r="K136" s="14">
        <v>14</v>
      </c>
      <c r="L136" s="50">
        <v>3000</v>
      </c>
      <c r="M136" s="50">
        <f t="shared" si="45"/>
        <v>42000</v>
      </c>
      <c r="N136" s="50">
        <f t="shared" si="44"/>
        <v>47040.000000000007</v>
      </c>
      <c r="O136" s="13" t="s">
        <v>32</v>
      </c>
      <c r="P136" s="17"/>
      <c r="Q136" s="17"/>
      <c r="R136" s="17"/>
      <c r="S136" s="17"/>
      <c r="T136" s="17"/>
      <c r="U136" s="17"/>
      <c r="V136" s="17"/>
      <c r="W136" s="17"/>
      <c r="X136" s="17"/>
      <c r="Y136" s="17"/>
      <c r="Z136" s="17"/>
    </row>
    <row r="137" spans="1:26" ht="101.25" customHeight="1" x14ac:dyDescent="0.25">
      <c r="A137" s="11">
        <v>123</v>
      </c>
      <c r="B137" s="12" t="s">
        <v>45</v>
      </c>
      <c r="C137" s="40" t="s">
        <v>265</v>
      </c>
      <c r="D137" s="40" t="s">
        <v>266</v>
      </c>
      <c r="E137" s="11" t="s">
        <v>20</v>
      </c>
      <c r="F137" s="14" t="s">
        <v>42</v>
      </c>
      <c r="G137" s="11" t="s">
        <v>482</v>
      </c>
      <c r="H137" s="14" t="s">
        <v>324</v>
      </c>
      <c r="I137" s="11" t="s">
        <v>321</v>
      </c>
      <c r="J137" s="14" t="s">
        <v>107</v>
      </c>
      <c r="K137" s="14">
        <v>5</v>
      </c>
      <c r="L137" s="50">
        <f>155/1.12</f>
        <v>138.39285714285714</v>
      </c>
      <c r="M137" s="50">
        <f>L137*K137</f>
        <v>691.96428571428567</v>
      </c>
      <c r="N137" s="50">
        <f>M137*1.12</f>
        <v>775</v>
      </c>
      <c r="O137" s="13" t="s">
        <v>32</v>
      </c>
      <c r="P137" s="17"/>
      <c r="Q137" s="17"/>
      <c r="R137" s="17"/>
      <c r="S137" s="17"/>
      <c r="T137" s="17"/>
      <c r="U137" s="17"/>
      <c r="V137" s="17"/>
      <c r="W137" s="17"/>
      <c r="X137" s="17"/>
      <c r="Y137" s="17"/>
      <c r="Z137" s="17"/>
    </row>
    <row r="138" spans="1:26" ht="102.75" customHeight="1" x14ac:dyDescent="0.25">
      <c r="A138" s="11">
        <v>124</v>
      </c>
      <c r="B138" s="12" t="s">
        <v>45</v>
      </c>
      <c r="C138" s="40" t="s">
        <v>265</v>
      </c>
      <c r="D138" s="40" t="s">
        <v>267</v>
      </c>
      <c r="E138" s="11" t="s">
        <v>20</v>
      </c>
      <c r="F138" s="14" t="s">
        <v>42</v>
      </c>
      <c r="G138" s="11" t="s">
        <v>482</v>
      </c>
      <c r="H138" s="14" t="s">
        <v>324</v>
      </c>
      <c r="I138" s="11" t="s">
        <v>321</v>
      </c>
      <c r="J138" s="14" t="s">
        <v>107</v>
      </c>
      <c r="K138" s="14">
        <v>7</v>
      </c>
      <c r="L138" s="50">
        <f>100/1.12</f>
        <v>89.285714285714278</v>
      </c>
      <c r="M138" s="50">
        <f>L138*K138</f>
        <v>625</v>
      </c>
      <c r="N138" s="50">
        <f>M138*1.12</f>
        <v>700.00000000000011</v>
      </c>
      <c r="O138" s="13" t="s">
        <v>32</v>
      </c>
      <c r="P138" s="17"/>
      <c r="Q138" s="17"/>
      <c r="R138" s="17"/>
      <c r="S138" s="17"/>
      <c r="T138" s="17"/>
      <c r="U138" s="17"/>
      <c r="V138" s="17"/>
      <c r="W138" s="17"/>
      <c r="X138" s="17"/>
      <c r="Y138" s="17"/>
      <c r="Z138" s="17"/>
    </row>
    <row r="139" spans="1:26" ht="102" customHeight="1" x14ac:dyDescent="0.25">
      <c r="A139" s="11">
        <v>125</v>
      </c>
      <c r="B139" s="12" t="s">
        <v>45</v>
      </c>
      <c r="C139" s="40" t="s">
        <v>268</v>
      </c>
      <c r="D139" s="40" t="s">
        <v>269</v>
      </c>
      <c r="E139" s="11" t="s">
        <v>20</v>
      </c>
      <c r="F139" s="14" t="s">
        <v>42</v>
      </c>
      <c r="G139" s="11" t="s">
        <v>482</v>
      </c>
      <c r="H139" s="14" t="s">
        <v>324</v>
      </c>
      <c r="I139" s="11" t="s">
        <v>321</v>
      </c>
      <c r="J139" s="14" t="s">
        <v>107</v>
      </c>
      <c r="K139" s="14">
        <v>5</v>
      </c>
      <c r="L139" s="50">
        <f>215/1.12</f>
        <v>191.96428571428569</v>
      </c>
      <c r="M139" s="50">
        <f t="shared" si="45"/>
        <v>959.82142857142844</v>
      </c>
      <c r="N139" s="50">
        <f t="shared" si="44"/>
        <v>1075</v>
      </c>
      <c r="O139" s="13" t="s">
        <v>32</v>
      </c>
      <c r="P139" s="17"/>
      <c r="Q139" s="17"/>
      <c r="R139" s="17"/>
      <c r="S139" s="17"/>
      <c r="T139" s="17"/>
      <c r="U139" s="17"/>
      <c r="V139" s="17"/>
      <c r="W139" s="17"/>
      <c r="X139" s="17"/>
      <c r="Y139" s="17"/>
      <c r="Z139" s="17"/>
    </row>
    <row r="140" spans="1:26" ht="102.75" customHeight="1" x14ac:dyDescent="0.25">
      <c r="A140" s="11">
        <v>126</v>
      </c>
      <c r="B140" s="12" t="s">
        <v>45</v>
      </c>
      <c r="C140" s="40" t="s">
        <v>268</v>
      </c>
      <c r="D140" s="40" t="s">
        <v>270</v>
      </c>
      <c r="E140" s="11" t="s">
        <v>20</v>
      </c>
      <c r="F140" s="14" t="s">
        <v>42</v>
      </c>
      <c r="G140" s="11" t="s">
        <v>482</v>
      </c>
      <c r="H140" s="14" t="s">
        <v>324</v>
      </c>
      <c r="I140" s="11" t="s">
        <v>321</v>
      </c>
      <c r="J140" s="14" t="s">
        <v>107</v>
      </c>
      <c r="K140" s="14">
        <v>5</v>
      </c>
      <c r="L140" s="50">
        <f>160/1.12</f>
        <v>142.85714285714283</v>
      </c>
      <c r="M140" s="50">
        <f t="shared" si="45"/>
        <v>714.28571428571422</v>
      </c>
      <c r="N140" s="50">
        <f t="shared" si="44"/>
        <v>800</v>
      </c>
      <c r="O140" s="13" t="s">
        <v>32</v>
      </c>
      <c r="P140" s="17"/>
      <c r="Q140" s="17"/>
      <c r="R140" s="17"/>
      <c r="S140" s="17"/>
      <c r="T140" s="17"/>
      <c r="U140" s="17"/>
      <c r="V140" s="17"/>
      <c r="W140" s="17"/>
      <c r="X140" s="17"/>
      <c r="Y140" s="17"/>
      <c r="Z140" s="17"/>
    </row>
    <row r="141" spans="1:26" ht="102.75" customHeight="1" x14ac:dyDescent="0.25">
      <c r="A141" s="11">
        <v>127</v>
      </c>
      <c r="B141" s="12" t="s">
        <v>45</v>
      </c>
      <c r="C141" s="40" t="s">
        <v>271</v>
      </c>
      <c r="D141" s="40" t="s">
        <v>271</v>
      </c>
      <c r="E141" s="11" t="s">
        <v>20</v>
      </c>
      <c r="F141" s="14" t="s">
        <v>42</v>
      </c>
      <c r="G141" s="11" t="s">
        <v>482</v>
      </c>
      <c r="H141" s="14" t="s">
        <v>324</v>
      </c>
      <c r="I141" s="11" t="s">
        <v>321</v>
      </c>
      <c r="J141" s="14" t="s">
        <v>107</v>
      </c>
      <c r="K141" s="14">
        <v>2</v>
      </c>
      <c r="L141" s="50">
        <f>1100/1.12</f>
        <v>982.142857142857</v>
      </c>
      <c r="M141" s="50">
        <f>L141*K141</f>
        <v>1964.285714285714</v>
      </c>
      <c r="N141" s="50">
        <f>M141*1.12</f>
        <v>2200</v>
      </c>
      <c r="O141" s="13" t="s">
        <v>32</v>
      </c>
      <c r="P141" s="17"/>
      <c r="Q141" s="17"/>
      <c r="R141" s="17"/>
      <c r="S141" s="17"/>
      <c r="T141" s="17"/>
      <c r="U141" s="17"/>
      <c r="V141" s="17"/>
      <c r="W141" s="17"/>
      <c r="X141" s="17"/>
      <c r="Y141" s="17"/>
      <c r="Z141" s="17"/>
    </row>
    <row r="142" spans="1:26" ht="102.75" customHeight="1" x14ac:dyDescent="0.25">
      <c r="A142" s="11">
        <v>128</v>
      </c>
      <c r="B142" s="12" t="s">
        <v>45</v>
      </c>
      <c r="C142" s="40" t="s">
        <v>272</v>
      </c>
      <c r="D142" s="40" t="s">
        <v>272</v>
      </c>
      <c r="E142" s="11" t="s">
        <v>20</v>
      </c>
      <c r="F142" s="14" t="s">
        <v>42</v>
      </c>
      <c r="G142" s="11" t="s">
        <v>482</v>
      </c>
      <c r="H142" s="14" t="s">
        <v>324</v>
      </c>
      <c r="I142" s="11" t="s">
        <v>321</v>
      </c>
      <c r="J142" s="14" t="s">
        <v>107</v>
      </c>
      <c r="K142" s="14">
        <v>2</v>
      </c>
      <c r="L142" s="50">
        <f>1160/1.12</f>
        <v>1035.7142857142856</v>
      </c>
      <c r="M142" s="50">
        <f t="shared" si="45"/>
        <v>2071.4285714285711</v>
      </c>
      <c r="N142" s="50">
        <f t="shared" si="44"/>
        <v>2320</v>
      </c>
      <c r="O142" s="13" t="s">
        <v>32</v>
      </c>
      <c r="P142" s="17"/>
      <c r="Q142" s="17"/>
      <c r="R142" s="17"/>
      <c r="S142" s="17"/>
      <c r="T142" s="17"/>
      <c r="U142" s="17"/>
      <c r="V142" s="17"/>
      <c r="W142" s="17"/>
      <c r="X142" s="17"/>
      <c r="Y142" s="17"/>
      <c r="Z142" s="17"/>
    </row>
    <row r="143" spans="1:26" ht="102.75" customHeight="1" x14ac:dyDescent="0.25">
      <c r="A143" s="11">
        <v>129</v>
      </c>
      <c r="B143" s="12" t="s">
        <v>45</v>
      </c>
      <c r="C143" s="40" t="s">
        <v>437</v>
      </c>
      <c r="D143" s="40" t="s">
        <v>438</v>
      </c>
      <c r="E143" s="11" t="s">
        <v>20</v>
      </c>
      <c r="F143" s="14" t="s">
        <v>42</v>
      </c>
      <c r="G143" s="11" t="s">
        <v>482</v>
      </c>
      <c r="H143" s="14" t="s">
        <v>324</v>
      </c>
      <c r="I143" s="11" t="s">
        <v>321</v>
      </c>
      <c r="J143" s="14" t="s">
        <v>107</v>
      </c>
      <c r="K143" s="14">
        <v>144</v>
      </c>
      <c r="L143" s="50">
        <v>758.93</v>
      </c>
      <c r="M143" s="50">
        <f t="shared" ref="M143" si="46">L143*K143</f>
        <v>109285.92</v>
      </c>
      <c r="N143" s="50">
        <f t="shared" ref="N143" si="47">M143*1.12</f>
        <v>122400.23040000001</v>
      </c>
      <c r="O143" s="13" t="s">
        <v>32</v>
      </c>
      <c r="P143" s="17"/>
      <c r="Q143" s="17"/>
      <c r="R143" s="17"/>
      <c r="S143" s="17"/>
      <c r="T143" s="17"/>
      <c r="U143" s="17"/>
      <c r="V143" s="17"/>
      <c r="W143" s="17"/>
      <c r="X143" s="17"/>
      <c r="Y143" s="17"/>
      <c r="Z143" s="17"/>
    </row>
    <row r="144" spans="1:26" ht="102.75" customHeight="1" x14ac:dyDescent="0.25">
      <c r="A144" s="11">
        <v>130</v>
      </c>
      <c r="B144" s="12" t="s">
        <v>45</v>
      </c>
      <c r="C144" s="51" t="s">
        <v>273</v>
      </c>
      <c r="D144" s="40" t="s">
        <v>274</v>
      </c>
      <c r="E144" s="11" t="s">
        <v>20</v>
      </c>
      <c r="F144" s="14" t="s">
        <v>42</v>
      </c>
      <c r="G144" s="11" t="s">
        <v>482</v>
      </c>
      <c r="H144" s="14" t="s">
        <v>323</v>
      </c>
      <c r="I144" s="11" t="s">
        <v>321</v>
      </c>
      <c r="J144" s="14" t="s">
        <v>107</v>
      </c>
      <c r="K144" s="14">
        <v>48</v>
      </c>
      <c r="L144" s="50">
        <f>350/1.12</f>
        <v>312.49999999999994</v>
      </c>
      <c r="M144" s="50">
        <f t="shared" si="45"/>
        <v>14999.999999999996</v>
      </c>
      <c r="N144" s="50">
        <f t="shared" si="44"/>
        <v>16799.999999999996</v>
      </c>
      <c r="O144" s="13" t="s">
        <v>32</v>
      </c>
      <c r="P144" s="17"/>
      <c r="Q144" s="17"/>
      <c r="R144" s="17"/>
      <c r="S144" s="17"/>
      <c r="T144" s="17"/>
      <c r="U144" s="17"/>
      <c r="V144" s="17"/>
      <c r="W144" s="17"/>
      <c r="X144" s="17"/>
      <c r="Y144" s="17"/>
      <c r="Z144" s="17"/>
    </row>
    <row r="145" spans="1:26" ht="102.75" customHeight="1" x14ac:dyDescent="0.25">
      <c r="A145" s="11">
        <v>131</v>
      </c>
      <c r="B145" s="12" t="s">
        <v>45</v>
      </c>
      <c r="C145" s="14" t="s">
        <v>275</v>
      </c>
      <c r="D145" s="14" t="s">
        <v>276</v>
      </c>
      <c r="E145" s="11" t="s">
        <v>20</v>
      </c>
      <c r="F145" s="14" t="s">
        <v>42</v>
      </c>
      <c r="G145" s="11" t="s">
        <v>482</v>
      </c>
      <c r="H145" s="14" t="s">
        <v>323</v>
      </c>
      <c r="I145" s="11" t="s">
        <v>321</v>
      </c>
      <c r="J145" s="14" t="s">
        <v>107</v>
      </c>
      <c r="K145" s="14">
        <v>96</v>
      </c>
      <c r="L145" s="50">
        <f>500/1.12</f>
        <v>446.42857142857139</v>
      </c>
      <c r="M145" s="50">
        <f t="shared" si="45"/>
        <v>42857.142857142855</v>
      </c>
      <c r="N145" s="50">
        <f t="shared" si="44"/>
        <v>48000</v>
      </c>
      <c r="O145" s="13" t="s">
        <v>32</v>
      </c>
      <c r="P145" s="17"/>
      <c r="Q145" s="17"/>
      <c r="R145" s="17"/>
      <c r="S145" s="17"/>
      <c r="T145" s="17"/>
      <c r="U145" s="17"/>
      <c r="V145" s="17"/>
      <c r="W145" s="17"/>
      <c r="X145" s="17"/>
      <c r="Y145" s="17"/>
      <c r="Z145" s="17"/>
    </row>
    <row r="146" spans="1:26" ht="117" customHeight="1" x14ac:dyDescent="0.25">
      <c r="A146" s="11">
        <v>132</v>
      </c>
      <c r="B146" s="12" t="s">
        <v>45</v>
      </c>
      <c r="C146" s="14" t="s">
        <v>439</v>
      </c>
      <c r="D146" s="14" t="s">
        <v>440</v>
      </c>
      <c r="E146" s="11" t="s">
        <v>20</v>
      </c>
      <c r="F146" s="14" t="s">
        <v>42</v>
      </c>
      <c r="G146" s="11" t="s">
        <v>482</v>
      </c>
      <c r="H146" s="14" t="s">
        <v>324</v>
      </c>
      <c r="I146" s="11" t="s">
        <v>441</v>
      </c>
      <c r="J146" s="14" t="s">
        <v>359</v>
      </c>
      <c r="K146" s="14">
        <v>200</v>
      </c>
      <c r="L146" s="50">
        <v>1100</v>
      </c>
      <c r="M146" s="50">
        <f t="shared" si="45"/>
        <v>220000</v>
      </c>
      <c r="N146" s="50">
        <f t="shared" si="44"/>
        <v>246400.00000000003</v>
      </c>
      <c r="O146" s="13" t="s">
        <v>32</v>
      </c>
      <c r="P146" s="17"/>
      <c r="Q146" s="17"/>
      <c r="R146" s="17"/>
      <c r="S146" s="17"/>
      <c r="T146" s="17"/>
      <c r="U146" s="17"/>
      <c r="V146" s="17"/>
      <c r="W146" s="17"/>
      <c r="X146" s="17"/>
      <c r="Y146" s="17"/>
      <c r="Z146" s="17"/>
    </row>
    <row r="147" spans="1:26" ht="114.75" customHeight="1" x14ac:dyDescent="0.25">
      <c r="A147" s="11">
        <v>133</v>
      </c>
      <c r="B147" s="12" t="s">
        <v>45</v>
      </c>
      <c r="C147" s="14" t="s">
        <v>442</v>
      </c>
      <c r="D147" s="14" t="s">
        <v>443</v>
      </c>
      <c r="E147" s="11" t="s">
        <v>20</v>
      </c>
      <c r="F147" s="14" t="s">
        <v>42</v>
      </c>
      <c r="G147" s="11" t="s">
        <v>482</v>
      </c>
      <c r="H147" s="14" t="s">
        <v>324</v>
      </c>
      <c r="I147" s="11" t="s">
        <v>441</v>
      </c>
      <c r="J147" s="14" t="s">
        <v>107</v>
      </c>
      <c r="K147" s="14"/>
      <c r="L147" s="50"/>
      <c r="M147" s="50">
        <f>116299.29+68352</f>
        <v>184651.28999999998</v>
      </c>
      <c r="N147" s="50">
        <f t="shared" ref="N147" si="48">M147*1.12</f>
        <v>206809.4448</v>
      </c>
      <c r="O147" s="13" t="s">
        <v>32</v>
      </c>
      <c r="P147" s="17"/>
      <c r="Q147" s="17"/>
      <c r="R147" s="17"/>
      <c r="S147" s="17"/>
      <c r="T147" s="17"/>
      <c r="U147" s="17"/>
      <c r="V147" s="17"/>
      <c r="W147" s="17"/>
      <c r="X147" s="17"/>
      <c r="Y147" s="17"/>
      <c r="Z147" s="17"/>
    </row>
    <row r="148" spans="1:26" ht="117" customHeight="1" x14ac:dyDescent="0.25">
      <c r="A148" s="11">
        <v>134</v>
      </c>
      <c r="B148" s="12" t="s">
        <v>45</v>
      </c>
      <c r="C148" s="14" t="s">
        <v>444</v>
      </c>
      <c r="D148" s="14" t="s">
        <v>445</v>
      </c>
      <c r="E148" s="11" t="s">
        <v>20</v>
      </c>
      <c r="F148" s="14" t="s">
        <v>42</v>
      </c>
      <c r="G148" s="11" t="s">
        <v>482</v>
      </c>
      <c r="H148" s="14" t="s">
        <v>323</v>
      </c>
      <c r="I148" s="11" t="s">
        <v>441</v>
      </c>
      <c r="J148" s="14" t="s">
        <v>107</v>
      </c>
      <c r="K148" s="14"/>
      <c r="L148" s="50"/>
      <c r="M148" s="50">
        <v>92917.86</v>
      </c>
      <c r="N148" s="50">
        <f t="shared" ref="N148" si="49">M148*1.12</f>
        <v>104068.00320000001</v>
      </c>
      <c r="O148" s="13" t="s">
        <v>32</v>
      </c>
      <c r="P148" s="17"/>
      <c r="Q148" s="17"/>
      <c r="R148" s="17"/>
      <c r="S148" s="17"/>
      <c r="T148" s="17"/>
      <c r="U148" s="17"/>
      <c r="V148" s="17"/>
      <c r="W148" s="17"/>
      <c r="X148" s="17"/>
      <c r="Y148" s="17"/>
      <c r="Z148" s="17"/>
    </row>
    <row r="149" spans="1:26" ht="114.75" customHeight="1" x14ac:dyDescent="0.25">
      <c r="A149" s="11">
        <v>135</v>
      </c>
      <c r="B149" s="12" t="s">
        <v>45</v>
      </c>
      <c r="C149" s="14" t="s">
        <v>444</v>
      </c>
      <c r="D149" s="14" t="s">
        <v>445</v>
      </c>
      <c r="E149" s="11" t="s">
        <v>20</v>
      </c>
      <c r="F149" s="14" t="s">
        <v>42</v>
      </c>
      <c r="G149" s="11" t="s">
        <v>482</v>
      </c>
      <c r="H149" s="14" t="s">
        <v>324</v>
      </c>
      <c r="I149" s="11" t="s">
        <v>441</v>
      </c>
      <c r="J149" s="14" t="s">
        <v>107</v>
      </c>
      <c r="K149" s="14"/>
      <c r="L149" s="50"/>
      <c r="M149" s="50">
        <v>27917.85</v>
      </c>
      <c r="N149" s="50">
        <v>31268</v>
      </c>
      <c r="O149" s="13" t="s">
        <v>32</v>
      </c>
      <c r="P149" s="17"/>
      <c r="Q149" s="17"/>
      <c r="R149" s="17"/>
      <c r="S149" s="17"/>
      <c r="T149" s="17"/>
      <c r="U149" s="17"/>
      <c r="V149" s="17"/>
      <c r="W149" s="17"/>
      <c r="X149" s="17"/>
      <c r="Y149" s="17"/>
      <c r="Z149" s="17"/>
    </row>
    <row r="150" spans="1:26" ht="107.25" customHeight="1" x14ac:dyDescent="0.25">
      <c r="A150" s="11">
        <v>136</v>
      </c>
      <c r="B150" s="12" t="s">
        <v>45</v>
      </c>
      <c r="C150" s="14" t="s">
        <v>139</v>
      </c>
      <c r="D150" s="33" t="s">
        <v>188</v>
      </c>
      <c r="E150" s="11" t="s">
        <v>20</v>
      </c>
      <c r="F150" s="14" t="s">
        <v>42</v>
      </c>
      <c r="G150" s="11" t="s">
        <v>482</v>
      </c>
      <c r="H150" s="14" t="s">
        <v>324</v>
      </c>
      <c r="I150" s="11" t="s">
        <v>41</v>
      </c>
      <c r="J150" s="13" t="s">
        <v>107</v>
      </c>
      <c r="K150" s="13"/>
      <c r="L150" s="32"/>
      <c r="M150" s="36">
        <v>163248</v>
      </c>
      <c r="N150" s="27">
        <f t="shared" si="44"/>
        <v>182837.76000000001</v>
      </c>
      <c r="O150" s="13" t="s">
        <v>32</v>
      </c>
      <c r="P150" s="17"/>
      <c r="Q150" s="17"/>
      <c r="R150" s="17"/>
      <c r="S150" s="17"/>
      <c r="T150" s="17"/>
      <c r="U150" s="17"/>
      <c r="V150" s="17"/>
      <c r="W150" s="17"/>
      <c r="X150" s="17"/>
      <c r="Y150" s="17"/>
      <c r="Z150" s="17"/>
    </row>
    <row r="151" spans="1:26" ht="94.5" customHeight="1" x14ac:dyDescent="0.25">
      <c r="A151" s="11">
        <v>137</v>
      </c>
      <c r="B151" s="12" t="s">
        <v>45</v>
      </c>
      <c r="C151" s="14" t="s">
        <v>139</v>
      </c>
      <c r="D151" s="33" t="s">
        <v>188</v>
      </c>
      <c r="E151" s="11" t="s">
        <v>20</v>
      </c>
      <c r="F151" s="14" t="s">
        <v>42</v>
      </c>
      <c r="G151" s="11" t="s">
        <v>482</v>
      </c>
      <c r="H151" s="14" t="s">
        <v>323</v>
      </c>
      <c r="I151" s="11" t="s">
        <v>41</v>
      </c>
      <c r="J151" s="13" t="s">
        <v>107</v>
      </c>
      <c r="K151" s="13"/>
      <c r="L151" s="32"/>
      <c r="M151" s="36">
        <v>68937</v>
      </c>
      <c r="N151" s="27">
        <f t="shared" si="44"/>
        <v>77209.440000000002</v>
      </c>
      <c r="O151" s="13" t="s">
        <v>32</v>
      </c>
      <c r="P151" s="17"/>
      <c r="Q151" s="17"/>
      <c r="R151" s="17"/>
      <c r="S151" s="17"/>
      <c r="T151" s="17"/>
      <c r="U151" s="17"/>
      <c r="V151" s="17"/>
      <c r="W151" s="17"/>
      <c r="X151" s="17"/>
      <c r="Y151" s="17"/>
      <c r="Z151" s="17"/>
    </row>
    <row r="152" spans="1:26" ht="125.25" customHeight="1" x14ac:dyDescent="0.25">
      <c r="A152" s="11">
        <v>138</v>
      </c>
      <c r="B152" s="12" t="s">
        <v>45</v>
      </c>
      <c r="C152" s="14" t="s">
        <v>139</v>
      </c>
      <c r="D152" s="33" t="s">
        <v>188</v>
      </c>
      <c r="E152" s="11" t="s">
        <v>20</v>
      </c>
      <c r="F152" s="14" t="s">
        <v>42</v>
      </c>
      <c r="G152" s="11" t="s">
        <v>482</v>
      </c>
      <c r="H152" s="20" t="s">
        <v>495</v>
      </c>
      <c r="I152" s="11" t="s">
        <v>41</v>
      </c>
      <c r="J152" s="13" t="s">
        <v>107</v>
      </c>
      <c r="K152" s="13"/>
      <c r="L152" s="32"/>
      <c r="M152" s="36">
        <v>90000</v>
      </c>
      <c r="N152" s="27">
        <f t="shared" ref="N152" si="50">M152*1.12</f>
        <v>100800.00000000001</v>
      </c>
      <c r="O152" s="13" t="s">
        <v>32</v>
      </c>
      <c r="P152" s="17"/>
      <c r="Q152" s="17"/>
      <c r="R152" s="17"/>
      <c r="S152" s="17"/>
      <c r="T152" s="17"/>
      <c r="U152" s="17"/>
      <c r="V152" s="17"/>
      <c r="W152" s="17"/>
      <c r="X152" s="17"/>
      <c r="Y152" s="17"/>
      <c r="Z152" s="17"/>
    </row>
    <row r="153" spans="1:26" ht="101.25" customHeight="1" x14ac:dyDescent="0.25">
      <c r="A153" s="11">
        <v>139</v>
      </c>
      <c r="B153" s="12" t="s">
        <v>45</v>
      </c>
      <c r="C153" s="13" t="s">
        <v>139</v>
      </c>
      <c r="D153" s="13" t="s">
        <v>139</v>
      </c>
      <c r="E153" s="11" t="s">
        <v>20</v>
      </c>
      <c r="F153" s="14" t="s">
        <v>42</v>
      </c>
      <c r="G153" s="11" t="s">
        <v>482</v>
      </c>
      <c r="H153" s="13" t="s">
        <v>196</v>
      </c>
      <c r="I153" s="11" t="s">
        <v>41</v>
      </c>
      <c r="J153" s="13" t="s">
        <v>107</v>
      </c>
      <c r="K153" s="18"/>
      <c r="L153" s="16"/>
      <c r="M153" s="16">
        <v>100000</v>
      </c>
      <c r="N153" s="16">
        <f>M153*1.12</f>
        <v>112000.00000000001</v>
      </c>
      <c r="O153" s="28" t="s">
        <v>32</v>
      </c>
      <c r="P153" s="17"/>
      <c r="Q153" s="17"/>
      <c r="R153" s="17"/>
      <c r="S153" s="17"/>
      <c r="T153" s="17"/>
      <c r="U153" s="17"/>
      <c r="V153" s="17"/>
      <c r="W153" s="17"/>
      <c r="X153" s="17"/>
      <c r="Y153" s="17"/>
      <c r="Z153" s="17"/>
    </row>
    <row r="154" spans="1:26" ht="136.5" customHeight="1" x14ac:dyDescent="0.25">
      <c r="A154" s="11">
        <v>140</v>
      </c>
      <c r="B154" s="12" t="s">
        <v>45</v>
      </c>
      <c r="C154" s="14" t="s">
        <v>139</v>
      </c>
      <c r="D154" s="14" t="s">
        <v>207</v>
      </c>
      <c r="E154" s="11" t="s">
        <v>20</v>
      </c>
      <c r="F154" s="14" t="s">
        <v>42</v>
      </c>
      <c r="G154" s="11" t="s">
        <v>482</v>
      </c>
      <c r="H154" s="11" t="s">
        <v>498</v>
      </c>
      <c r="I154" s="11" t="s">
        <v>41</v>
      </c>
      <c r="J154" s="13" t="s">
        <v>107</v>
      </c>
      <c r="K154" s="13"/>
      <c r="L154" s="13"/>
      <c r="M154" s="15">
        <v>312000</v>
      </c>
      <c r="N154" s="15">
        <f t="shared" ref="N154:N155" si="51">M154*1.12</f>
        <v>349440.00000000006</v>
      </c>
      <c r="O154" s="28" t="s">
        <v>32</v>
      </c>
      <c r="P154" s="17"/>
      <c r="Q154" s="17"/>
      <c r="R154" s="17"/>
      <c r="S154" s="17"/>
      <c r="T154" s="17"/>
      <c r="U154" s="17"/>
      <c r="V154" s="17"/>
      <c r="W154" s="17"/>
      <c r="X154" s="17"/>
      <c r="Y154" s="17"/>
      <c r="Z154" s="17"/>
    </row>
    <row r="155" spans="1:26" ht="126.75" customHeight="1" x14ac:dyDescent="0.25">
      <c r="A155" s="11">
        <v>141</v>
      </c>
      <c r="B155" s="12" t="s">
        <v>45</v>
      </c>
      <c r="C155" s="14" t="s">
        <v>139</v>
      </c>
      <c r="D155" s="14" t="s">
        <v>207</v>
      </c>
      <c r="E155" s="11" t="s">
        <v>20</v>
      </c>
      <c r="F155" s="14" t="s">
        <v>42</v>
      </c>
      <c r="G155" s="11" t="s">
        <v>482</v>
      </c>
      <c r="H155" s="11" t="s">
        <v>494</v>
      </c>
      <c r="I155" s="11" t="s">
        <v>41</v>
      </c>
      <c r="J155" s="13" t="s">
        <v>107</v>
      </c>
      <c r="K155" s="13"/>
      <c r="L155" s="13"/>
      <c r="M155" s="15">
        <v>1887960</v>
      </c>
      <c r="N155" s="15">
        <f t="shared" si="51"/>
        <v>2114515.2000000002</v>
      </c>
      <c r="O155" s="28" t="s">
        <v>32</v>
      </c>
      <c r="P155" s="17"/>
      <c r="Q155" s="17"/>
      <c r="R155" s="17"/>
      <c r="S155" s="17"/>
      <c r="T155" s="17"/>
      <c r="U155" s="17"/>
      <c r="V155" s="17"/>
      <c r="W155" s="17"/>
      <c r="X155" s="17"/>
      <c r="Y155" s="17"/>
      <c r="Z155" s="17"/>
    </row>
    <row r="156" spans="1:26" ht="107.25" customHeight="1" x14ac:dyDescent="0.25">
      <c r="A156" s="11">
        <v>142</v>
      </c>
      <c r="B156" s="12" t="s">
        <v>45</v>
      </c>
      <c r="C156" s="33" t="s">
        <v>71</v>
      </c>
      <c r="D156" s="33" t="s">
        <v>189</v>
      </c>
      <c r="E156" s="11" t="s">
        <v>20</v>
      </c>
      <c r="F156" s="14" t="s">
        <v>42</v>
      </c>
      <c r="G156" s="11" t="s">
        <v>482</v>
      </c>
      <c r="H156" s="14" t="s">
        <v>324</v>
      </c>
      <c r="I156" s="11" t="s">
        <v>41</v>
      </c>
      <c r="J156" s="13" t="s">
        <v>107</v>
      </c>
      <c r="K156" s="13"/>
      <c r="L156" s="32"/>
      <c r="M156" s="36">
        <v>204000</v>
      </c>
      <c r="N156" s="27">
        <f>M156*1.12</f>
        <v>228480.00000000003</v>
      </c>
      <c r="O156" s="13" t="s">
        <v>32</v>
      </c>
      <c r="P156" s="17"/>
      <c r="Q156" s="17"/>
      <c r="R156" s="17"/>
      <c r="S156" s="17"/>
      <c r="T156" s="17"/>
      <c r="U156" s="17"/>
      <c r="V156" s="17"/>
      <c r="W156" s="17"/>
      <c r="X156" s="17"/>
      <c r="Y156" s="17"/>
      <c r="Z156" s="17"/>
    </row>
    <row r="157" spans="1:26" ht="113.25" customHeight="1" x14ac:dyDescent="0.25">
      <c r="A157" s="11">
        <v>143</v>
      </c>
      <c r="B157" s="12" t="s">
        <v>45</v>
      </c>
      <c r="C157" s="33" t="s">
        <v>71</v>
      </c>
      <c r="D157" s="33" t="s">
        <v>189</v>
      </c>
      <c r="E157" s="11" t="s">
        <v>20</v>
      </c>
      <c r="F157" s="14" t="s">
        <v>42</v>
      </c>
      <c r="G157" s="11" t="s">
        <v>482</v>
      </c>
      <c r="H157" s="14" t="s">
        <v>323</v>
      </c>
      <c r="I157" s="11" t="s">
        <v>41</v>
      </c>
      <c r="J157" s="13" t="s">
        <v>107</v>
      </c>
      <c r="K157" s="13"/>
      <c r="L157" s="32"/>
      <c r="M157" s="36">
        <v>84000</v>
      </c>
      <c r="N157" s="27">
        <f>M157*1.12</f>
        <v>94080.000000000015</v>
      </c>
      <c r="O157" s="13" t="s">
        <v>32</v>
      </c>
      <c r="P157" s="17"/>
      <c r="Q157" s="17"/>
      <c r="R157" s="17"/>
      <c r="S157" s="17"/>
      <c r="T157" s="17"/>
      <c r="U157" s="17"/>
      <c r="V157" s="17"/>
      <c r="W157" s="17"/>
      <c r="X157" s="17"/>
      <c r="Y157" s="17"/>
      <c r="Z157" s="17"/>
    </row>
    <row r="158" spans="1:26" ht="82.5" customHeight="1" x14ac:dyDescent="0.25">
      <c r="A158" s="11">
        <v>144</v>
      </c>
      <c r="B158" s="12" t="s">
        <v>45</v>
      </c>
      <c r="C158" s="33" t="s">
        <v>71</v>
      </c>
      <c r="D158" s="33" t="s">
        <v>189</v>
      </c>
      <c r="E158" s="11" t="s">
        <v>20</v>
      </c>
      <c r="F158" s="14" t="s">
        <v>42</v>
      </c>
      <c r="G158" s="11" t="s">
        <v>482</v>
      </c>
      <c r="H158" s="20" t="s">
        <v>495</v>
      </c>
      <c r="I158" s="11" t="s">
        <v>41</v>
      </c>
      <c r="J158" s="13" t="s">
        <v>107</v>
      </c>
      <c r="K158" s="13"/>
      <c r="L158" s="32"/>
      <c r="M158" s="36">
        <v>240000</v>
      </c>
      <c r="N158" s="27">
        <f>M158*1.12</f>
        <v>268800</v>
      </c>
      <c r="O158" s="13" t="s">
        <v>32</v>
      </c>
      <c r="P158" s="17"/>
      <c r="Q158" s="17"/>
      <c r="R158" s="17"/>
      <c r="S158" s="17"/>
      <c r="T158" s="17"/>
      <c r="U158" s="17"/>
      <c r="V158" s="17"/>
      <c r="W158" s="17"/>
      <c r="X158" s="17"/>
      <c r="Y158" s="17"/>
      <c r="Z158" s="17"/>
    </row>
    <row r="159" spans="1:26" ht="105.75" customHeight="1" x14ac:dyDescent="0.25">
      <c r="A159" s="11">
        <v>145</v>
      </c>
      <c r="B159" s="12" t="s">
        <v>45</v>
      </c>
      <c r="C159" s="13" t="s">
        <v>71</v>
      </c>
      <c r="D159" s="13" t="s">
        <v>71</v>
      </c>
      <c r="E159" s="11" t="s">
        <v>20</v>
      </c>
      <c r="F159" s="14" t="s">
        <v>42</v>
      </c>
      <c r="G159" s="11" t="s">
        <v>482</v>
      </c>
      <c r="H159" s="13" t="s">
        <v>196</v>
      </c>
      <c r="I159" s="11" t="s">
        <v>41</v>
      </c>
      <c r="J159" s="13" t="s">
        <v>107</v>
      </c>
      <c r="K159" s="18"/>
      <c r="L159" s="16"/>
      <c r="M159" s="16">
        <v>1100000</v>
      </c>
      <c r="N159" s="16">
        <f>M159*1.12</f>
        <v>1232000.0000000002</v>
      </c>
      <c r="O159" s="28" t="s">
        <v>32</v>
      </c>
      <c r="P159" s="17"/>
      <c r="Q159" s="17"/>
      <c r="R159" s="17"/>
      <c r="S159" s="17"/>
      <c r="T159" s="17"/>
      <c r="U159" s="17"/>
      <c r="V159" s="17"/>
      <c r="W159" s="17"/>
      <c r="X159" s="17"/>
      <c r="Y159" s="17"/>
      <c r="Z159" s="17"/>
    </row>
    <row r="160" spans="1:26" ht="133.5" customHeight="1" x14ac:dyDescent="0.25">
      <c r="A160" s="11">
        <v>146</v>
      </c>
      <c r="B160" s="12" t="s">
        <v>45</v>
      </c>
      <c r="C160" s="14" t="s">
        <v>214</v>
      </c>
      <c r="D160" s="14" t="s">
        <v>214</v>
      </c>
      <c r="E160" s="11" t="s">
        <v>20</v>
      </c>
      <c r="F160" s="14" t="s">
        <v>42</v>
      </c>
      <c r="G160" s="11" t="s">
        <v>482</v>
      </c>
      <c r="H160" s="11" t="s">
        <v>498</v>
      </c>
      <c r="I160" s="11" t="s">
        <v>41</v>
      </c>
      <c r="J160" s="13" t="s">
        <v>107</v>
      </c>
      <c r="K160" s="13">
        <v>36</v>
      </c>
      <c r="L160" s="13">
        <v>6000</v>
      </c>
      <c r="M160" s="15">
        <f>L160*K160</f>
        <v>216000</v>
      </c>
      <c r="N160" s="15">
        <f t="shared" ref="N160" si="52">M160*1.12</f>
        <v>241920.00000000003</v>
      </c>
      <c r="O160" s="28" t="s">
        <v>32</v>
      </c>
      <c r="P160" s="17"/>
      <c r="Q160" s="17"/>
      <c r="R160" s="17"/>
      <c r="S160" s="17"/>
      <c r="T160" s="17"/>
      <c r="U160" s="17"/>
      <c r="V160" s="17"/>
      <c r="W160" s="17"/>
      <c r="X160" s="17"/>
      <c r="Y160" s="17"/>
      <c r="Z160" s="17"/>
    </row>
    <row r="161" spans="1:26" ht="81" customHeight="1" x14ac:dyDescent="0.25">
      <c r="A161" s="11">
        <v>147</v>
      </c>
      <c r="B161" s="12" t="s">
        <v>45</v>
      </c>
      <c r="C161" s="14" t="s">
        <v>214</v>
      </c>
      <c r="D161" s="14" t="s">
        <v>419</v>
      </c>
      <c r="E161" s="11" t="s">
        <v>20</v>
      </c>
      <c r="F161" s="14" t="s">
        <v>42</v>
      </c>
      <c r="G161" s="11" t="s">
        <v>482</v>
      </c>
      <c r="H161" s="11" t="s">
        <v>501</v>
      </c>
      <c r="I161" s="11" t="s">
        <v>41</v>
      </c>
      <c r="J161" s="13" t="s">
        <v>107</v>
      </c>
      <c r="K161" s="13">
        <v>60</v>
      </c>
      <c r="L161" s="52">
        <v>5178.57</v>
      </c>
      <c r="M161" s="53">
        <v>311000</v>
      </c>
      <c r="N161" s="15">
        <v>348000</v>
      </c>
      <c r="O161" s="28" t="s">
        <v>32</v>
      </c>
      <c r="P161" s="17"/>
      <c r="Q161" s="17"/>
      <c r="R161" s="17"/>
      <c r="S161" s="17"/>
      <c r="T161" s="17"/>
      <c r="U161" s="17"/>
      <c r="V161" s="17"/>
      <c r="W161" s="17"/>
      <c r="X161" s="17"/>
      <c r="Y161" s="17"/>
      <c r="Z161" s="17"/>
    </row>
    <row r="162" spans="1:26" ht="105.75" customHeight="1" x14ac:dyDescent="0.25">
      <c r="A162" s="11">
        <v>148</v>
      </c>
      <c r="B162" s="12" t="s">
        <v>45</v>
      </c>
      <c r="C162" s="14" t="s">
        <v>223</v>
      </c>
      <c r="D162" s="14" t="s">
        <v>223</v>
      </c>
      <c r="E162" s="11" t="s">
        <v>20</v>
      </c>
      <c r="F162" s="14" t="s">
        <v>42</v>
      </c>
      <c r="G162" s="11" t="s">
        <v>482</v>
      </c>
      <c r="H162" s="13" t="s">
        <v>196</v>
      </c>
      <c r="I162" s="11" t="s">
        <v>41</v>
      </c>
      <c r="J162" s="13" t="s">
        <v>107</v>
      </c>
      <c r="K162" s="18">
        <v>1</v>
      </c>
      <c r="L162" s="15">
        <v>58035.7</v>
      </c>
      <c r="M162" s="15">
        <v>58035.7</v>
      </c>
      <c r="N162" s="15">
        <v>65000</v>
      </c>
      <c r="O162" s="28" t="s">
        <v>32</v>
      </c>
      <c r="P162" s="17"/>
      <c r="Q162" s="17"/>
      <c r="R162" s="17"/>
      <c r="S162" s="17"/>
      <c r="T162" s="17"/>
      <c r="U162" s="17"/>
      <c r="V162" s="17"/>
      <c r="W162" s="17"/>
      <c r="X162" s="17"/>
      <c r="Y162" s="17"/>
      <c r="Z162" s="17"/>
    </row>
    <row r="163" spans="1:26" ht="54.75" customHeight="1" x14ac:dyDescent="0.25">
      <c r="A163" s="11">
        <v>149</v>
      </c>
      <c r="B163" s="12" t="s">
        <v>45</v>
      </c>
      <c r="C163" s="14" t="s">
        <v>285</v>
      </c>
      <c r="D163" s="14" t="s">
        <v>285</v>
      </c>
      <c r="E163" s="11" t="s">
        <v>20</v>
      </c>
      <c r="F163" s="14" t="s">
        <v>42</v>
      </c>
      <c r="G163" s="11" t="s">
        <v>482</v>
      </c>
      <c r="H163" s="11" t="s">
        <v>496</v>
      </c>
      <c r="I163" s="11" t="s">
        <v>286</v>
      </c>
      <c r="J163" s="13" t="s">
        <v>127</v>
      </c>
      <c r="K163" s="36">
        <v>1.7390000000000001</v>
      </c>
      <c r="L163" s="16">
        <v>91964.29</v>
      </c>
      <c r="M163" s="16">
        <f>L163*K163</f>
        <v>159925.90031</v>
      </c>
      <c r="N163" s="16">
        <f>M163*1.12</f>
        <v>179117.00834720003</v>
      </c>
      <c r="O163" s="28" t="s">
        <v>32</v>
      </c>
      <c r="P163" s="17"/>
      <c r="Q163" s="17"/>
      <c r="R163" s="17"/>
      <c r="S163" s="17"/>
      <c r="T163" s="17"/>
      <c r="U163" s="17"/>
      <c r="V163" s="17"/>
      <c r="W163" s="17"/>
      <c r="X163" s="17"/>
      <c r="Y163" s="17"/>
      <c r="Z163" s="17"/>
    </row>
    <row r="164" spans="1:26" ht="133.5" customHeight="1" x14ac:dyDescent="0.25">
      <c r="A164" s="11">
        <v>150</v>
      </c>
      <c r="B164" s="12" t="s">
        <v>45</v>
      </c>
      <c r="C164" s="13" t="s">
        <v>289</v>
      </c>
      <c r="D164" s="54" t="s">
        <v>290</v>
      </c>
      <c r="E164" s="13" t="s">
        <v>24</v>
      </c>
      <c r="F164" s="14" t="s">
        <v>42</v>
      </c>
      <c r="G164" s="11" t="s">
        <v>482</v>
      </c>
      <c r="H164" s="11" t="s">
        <v>494</v>
      </c>
      <c r="I164" s="11" t="s">
        <v>41</v>
      </c>
      <c r="J164" s="13"/>
      <c r="K164" s="36"/>
      <c r="L164" s="16"/>
      <c r="M164" s="15">
        <v>6848000</v>
      </c>
      <c r="N164" s="16">
        <f t="shared" ref="N164:N174" si="53">M164*1.12</f>
        <v>7669760.0000000009</v>
      </c>
      <c r="O164" s="28" t="s">
        <v>32</v>
      </c>
      <c r="P164" s="17"/>
      <c r="Q164" s="17"/>
      <c r="R164" s="17"/>
      <c r="S164" s="17"/>
      <c r="T164" s="17"/>
      <c r="U164" s="17"/>
      <c r="V164" s="17"/>
      <c r="W164" s="17"/>
      <c r="X164" s="17"/>
      <c r="Y164" s="17"/>
      <c r="Z164" s="17"/>
    </row>
    <row r="165" spans="1:26" ht="139.5" customHeight="1" x14ac:dyDescent="0.25">
      <c r="A165" s="11">
        <v>151</v>
      </c>
      <c r="B165" s="12" t="s">
        <v>45</v>
      </c>
      <c r="C165" s="13" t="s">
        <v>289</v>
      </c>
      <c r="D165" s="54" t="s">
        <v>290</v>
      </c>
      <c r="E165" s="11" t="s">
        <v>20</v>
      </c>
      <c r="F165" s="14" t="s">
        <v>42</v>
      </c>
      <c r="G165" s="11" t="s">
        <v>482</v>
      </c>
      <c r="H165" s="11" t="s">
        <v>348</v>
      </c>
      <c r="I165" s="11" t="s">
        <v>41</v>
      </c>
      <c r="J165" s="13" t="s">
        <v>107</v>
      </c>
      <c r="K165" s="36"/>
      <c r="L165" s="16"/>
      <c r="M165" s="15">
        <v>774000</v>
      </c>
      <c r="N165" s="16">
        <f t="shared" ref="N165" si="54">M165*1.12</f>
        <v>866880.00000000012</v>
      </c>
      <c r="O165" s="28" t="s">
        <v>32</v>
      </c>
      <c r="P165" s="17"/>
      <c r="Q165" s="17"/>
      <c r="R165" s="17"/>
      <c r="S165" s="17"/>
      <c r="T165" s="17"/>
      <c r="U165" s="17"/>
      <c r="V165" s="17"/>
      <c r="W165" s="17"/>
      <c r="X165" s="17"/>
      <c r="Y165" s="17"/>
      <c r="Z165" s="17"/>
    </row>
    <row r="166" spans="1:26" ht="163.5" customHeight="1" x14ac:dyDescent="0.25">
      <c r="A166" s="11">
        <v>152</v>
      </c>
      <c r="B166" s="12" t="s">
        <v>45</v>
      </c>
      <c r="C166" s="13" t="s">
        <v>292</v>
      </c>
      <c r="D166" s="54" t="s">
        <v>291</v>
      </c>
      <c r="E166" s="13" t="s">
        <v>24</v>
      </c>
      <c r="F166" s="14" t="s">
        <v>42</v>
      </c>
      <c r="G166" s="11" t="s">
        <v>482</v>
      </c>
      <c r="H166" s="11" t="s">
        <v>494</v>
      </c>
      <c r="I166" s="11" t="s">
        <v>41</v>
      </c>
      <c r="J166" s="13" t="s">
        <v>107</v>
      </c>
      <c r="K166" s="18"/>
      <c r="L166" s="55"/>
      <c r="M166" s="15">
        <v>20902000</v>
      </c>
      <c r="N166" s="16">
        <f t="shared" si="53"/>
        <v>23410240.000000004</v>
      </c>
      <c r="O166" s="28" t="s">
        <v>32</v>
      </c>
      <c r="P166" s="17"/>
      <c r="Q166" s="17"/>
      <c r="R166" s="17"/>
      <c r="S166" s="17"/>
      <c r="T166" s="17"/>
      <c r="U166" s="17"/>
      <c r="V166" s="17"/>
      <c r="W166" s="17"/>
      <c r="X166" s="17"/>
      <c r="Y166" s="17"/>
      <c r="Z166" s="17"/>
    </row>
    <row r="167" spans="1:26" ht="150.75" customHeight="1" x14ac:dyDescent="0.25">
      <c r="A167" s="11">
        <v>153</v>
      </c>
      <c r="B167" s="12" t="s">
        <v>45</v>
      </c>
      <c r="C167" s="54" t="s">
        <v>293</v>
      </c>
      <c r="D167" s="54" t="s">
        <v>416</v>
      </c>
      <c r="E167" s="11" t="s">
        <v>24</v>
      </c>
      <c r="F167" s="14" t="s">
        <v>42</v>
      </c>
      <c r="G167" s="11" t="s">
        <v>482</v>
      </c>
      <c r="H167" s="11" t="s">
        <v>494</v>
      </c>
      <c r="I167" s="11" t="s">
        <v>41</v>
      </c>
      <c r="J167" s="13" t="s">
        <v>107</v>
      </c>
      <c r="K167" s="18"/>
      <c r="L167" s="55"/>
      <c r="M167" s="15">
        <f>[1]Лист19!$G$33</f>
        <v>14544210</v>
      </c>
      <c r="N167" s="16">
        <f t="shared" si="53"/>
        <v>16289515.200000001</v>
      </c>
      <c r="O167" s="28" t="s">
        <v>32</v>
      </c>
      <c r="P167" s="23"/>
      <c r="Q167" s="17"/>
      <c r="R167" s="17"/>
      <c r="S167" s="17"/>
      <c r="T167" s="17"/>
      <c r="U167" s="17"/>
      <c r="V167" s="17"/>
      <c r="W167" s="17"/>
      <c r="X167" s="17"/>
      <c r="Y167" s="17"/>
      <c r="Z167" s="17"/>
    </row>
    <row r="168" spans="1:26" ht="163.5" customHeight="1" x14ac:dyDescent="0.25">
      <c r="A168" s="11">
        <v>154</v>
      </c>
      <c r="B168" s="12" t="s">
        <v>45</v>
      </c>
      <c r="C168" s="54" t="s">
        <v>293</v>
      </c>
      <c r="D168" s="54" t="s">
        <v>416</v>
      </c>
      <c r="E168" s="11" t="s">
        <v>20</v>
      </c>
      <c r="F168" s="14" t="s">
        <v>42</v>
      </c>
      <c r="G168" s="11" t="s">
        <v>482</v>
      </c>
      <c r="H168" s="11" t="s">
        <v>348</v>
      </c>
      <c r="I168" s="11" t="s">
        <v>41</v>
      </c>
      <c r="J168" s="13" t="s">
        <v>107</v>
      </c>
      <c r="K168" s="18"/>
      <c r="L168" s="55"/>
      <c r="M168" s="15">
        <v>2554400</v>
      </c>
      <c r="N168" s="16">
        <f t="shared" ref="N168" si="55">M168*1.12</f>
        <v>2860928.0000000005</v>
      </c>
      <c r="O168" s="28" t="s">
        <v>32</v>
      </c>
      <c r="P168" s="17"/>
      <c r="Q168" s="17"/>
      <c r="R168" s="17"/>
      <c r="S168" s="17"/>
      <c r="T168" s="17"/>
      <c r="U168" s="17"/>
      <c r="V168" s="17"/>
      <c r="W168" s="17"/>
      <c r="X168" s="17"/>
      <c r="Y168" s="17"/>
      <c r="Z168" s="17"/>
    </row>
    <row r="169" spans="1:26" ht="129" customHeight="1" x14ac:dyDescent="0.25">
      <c r="A169" s="11">
        <v>155</v>
      </c>
      <c r="B169" s="12" t="s">
        <v>45</v>
      </c>
      <c r="C169" s="54" t="s">
        <v>330</v>
      </c>
      <c r="D169" s="54" t="s">
        <v>294</v>
      </c>
      <c r="E169" s="11" t="s">
        <v>20</v>
      </c>
      <c r="F169" s="14" t="s">
        <v>42</v>
      </c>
      <c r="G169" s="11" t="s">
        <v>482</v>
      </c>
      <c r="H169" s="11" t="s">
        <v>494</v>
      </c>
      <c r="I169" s="11" t="s">
        <v>41</v>
      </c>
      <c r="J169" s="13" t="s">
        <v>107</v>
      </c>
      <c r="K169" s="18"/>
      <c r="L169" s="55"/>
      <c r="M169" s="15">
        <v>2101645</v>
      </c>
      <c r="N169" s="16">
        <f t="shared" si="53"/>
        <v>2353842.4000000004</v>
      </c>
      <c r="O169" s="28" t="s">
        <v>32</v>
      </c>
      <c r="P169" s="17"/>
      <c r="Q169" s="17"/>
      <c r="R169" s="17"/>
      <c r="S169" s="17"/>
      <c r="T169" s="17"/>
      <c r="U169" s="17"/>
      <c r="V169" s="17"/>
      <c r="W169" s="17"/>
      <c r="X169" s="17"/>
      <c r="Y169" s="17"/>
      <c r="Z169" s="17"/>
    </row>
    <row r="170" spans="1:26" ht="192.75" customHeight="1" x14ac:dyDescent="0.25">
      <c r="A170" s="11">
        <v>156</v>
      </c>
      <c r="B170" s="12" t="s">
        <v>45</v>
      </c>
      <c r="C170" s="56" t="s">
        <v>295</v>
      </c>
      <c r="D170" s="54" t="s">
        <v>296</v>
      </c>
      <c r="E170" s="11" t="s">
        <v>20</v>
      </c>
      <c r="F170" s="14" t="s">
        <v>42</v>
      </c>
      <c r="G170" s="11" t="s">
        <v>482</v>
      </c>
      <c r="H170" s="11" t="s">
        <v>494</v>
      </c>
      <c r="I170" s="11" t="s">
        <v>41</v>
      </c>
      <c r="J170" s="13" t="s">
        <v>107</v>
      </c>
      <c r="K170" s="18"/>
      <c r="L170" s="55"/>
      <c r="M170" s="15">
        <v>1493898.5714285716</v>
      </c>
      <c r="N170" s="16">
        <f t="shared" si="53"/>
        <v>1673166.4000000004</v>
      </c>
      <c r="O170" s="28" t="s">
        <v>32</v>
      </c>
      <c r="P170" s="23"/>
      <c r="Q170" s="17"/>
      <c r="R170" s="17"/>
      <c r="S170" s="17"/>
      <c r="T170" s="17"/>
      <c r="U170" s="17"/>
      <c r="V170" s="17"/>
      <c r="W170" s="17"/>
      <c r="X170" s="17"/>
      <c r="Y170" s="17"/>
      <c r="Z170" s="17"/>
    </row>
    <row r="171" spans="1:26" ht="282.75" customHeight="1" x14ac:dyDescent="0.25">
      <c r="A171" s="11">
        <v>157</v>
      </c>
      <c r="B171" s="12" t="s">
        <v>45</v>
      </c>
      <c r="C171" s="56" t="s">
        <v>297</v>
      </c>
      <c r="D171" s="54" t="s">
        <v>298</v>
      </c>
      <c r="E171" s="11" t="s">
        <v>20</v>
      </c>
      <c r="F171" s="14" t="s">
        <v>42</v>
      </c>
      <c r="G171" s="11" t="s">
        <v>482</v>
      </c>
      <c r="H171" s="11" t="s">
        <v>494</v>
      </c>
      <c r="I171" s="11" t="s">
        <v>41</v>
      </c>
      <c r="J171" s="13" t="s">
        <v>107</v>
      </c>
      <c r="K171" s="18"/>
      <c r="L171" s="55"/>
      <c r="M171" s="15">
        <v>1572740</v>
      </c>
      <c r="N171" s="16">
        <f t="shared" si="53"/>
        <v>1761468.8000000003</v>
      </c>
      <c r="O171" s="28" t="s">
        <v>32</v>
      </c>
      <c r="P171" s="17"/>
      <c r="Q171" s="17"/>
      <c r="R171" s="17"/>
      <c r="S171" s="17"/>
      <c r="T171" s="17"/>
      <c r="U171" s="17"/>
      <c r="V171" s="17"/>
      <c r="W171" s="17"/>
      <c r="X171" s="17"/>
      <c r="Y171" s="17"/>
      <c r="Z171" s="17"/>
    </row>
    <row r="172" spans="1:26" ht="193.5" customHeight="1" x14ac:dyDescent="0.25">
      <c r="A172" s="11">
        <v>158</v>
      </c>
      <c r="B172" s="12" t="s">
        <v>45</v>
      </c>
      <c r="C172" s="56" t="s">
        <v>299</v>
      </c>
      <c r="D172" s="54" t="s">
        <v>300</v>
      </c>
      <c r="E172" s="11" t="s">
        <v>20</v>
      </c>
      <c r="F172" s="14" t="s">
        <v>42</v>
      </c>
      <c r="G172" s="11" t="s">
        <v>482</v>
      </c>
      <c r="H172" s="11" t="s">
        <v>494</v>
      </c>
      <c r="I172" s="11" t="s">
        <v>41</v>
      </c>
      <c r="J172" s="13" t="s">
        <v>107</v>
      </c>
      <c r="K172" s="18"/>
      <c r="L172" s="55"/>
      <c r="M172" s="15">
        <v>1457715</v>
      </c>
      <c r="N172" s="16">
        <f t="shared" si="53"/>
        <v>1632640.8</v>
      </c>
      <c r="O172" s="28" t="s">
        <v>32</v>
      </c>
      <c r="P172" s="17"/>
      <c r="Q172" s="17"/>
      <c r="R172" s="17"/>
      <c r="S172" s="17"/>
      <c r="T172" s="17"/>
      <c r="U172" s="17"/>
      <c r="V172" s="17"/>
      <c r="W172" s="17"/>
      <c r="X172" s="17"/>
      <c r="Y172" s="17"/>
      <c r="Z172" s="17"/>
    </row>
    <row r="173" spans="1:26" ht="71.25" customHeight="1" x14ac:dyDescent="0.25">
      <c r="A173" s="11">
        <v>159</v>
      </c>
      <c r="B173" s="12" t="s">
        <v>45</v>
      </c>
      <c r="C173" s="56" t="s">
        <v>301</v>
      </c>
      <c r="D173" s="54" t="s">
        <v>302</v>
      </c>
      <c r="E173" s="11" t="s">
        <v>20</v>
      </c>
      <c r="F173" s="14" t="s">
        <v>42</v>
      </c>
      <c r="G173" s="11" t="s">
        <v>482</v>
      </c>
      <c r="H173" s="11" t="s">
        <v>494</v>
      </c>
      <c r="I173" s="11" t="s">
        <v>41</v>
      </c>
      <c r="J173" s="13" t="s">
        <v>107</v>
      </c>
      <c r="K173" s="18"/>
      <c r="L173" s="55"/>
      <c r="M173" s="16">
        <v>2029400</v>
      </c>
      <c r="N173" s="26">
        <f t="shared" si="53"/>
        <v>2272928</v>
      </c>
      <c r="O173" s="28" t="s">
        <v>32</v>
      </c>
      <c r="P173" s="17"/>
      <c r="Q173" s="17"/>
      <c r="R173" s="17"/>
      <c r="S173" s="17"/>
      <c r="T173" s="17"/>
      <c r="U173" s="17"/>
      <c r="V173" s="17"/>
      <c r="W173" s="17"/>
      <c r="X173" s="17"/>
      <c r="Y173" s="17"/>
      <c r="Z173" s="17"/>
    </row>
    <row r="174" spans="1:26" ht="109.5" customHeight="1" x14ac:dyDescent="0.25">
      <c r="A174" s="11">
        <v>160</v>
      </c>
      <c r="B174" s="12" t="s">
        <v>45</v>
      </c>
      <c r="C174" s="56" t="s">
        <v>303</v>
      </c>
      <c r="D174" s="54" t="s">
        <v>304</v>
      </c>
      <c r="E174" s="11" t="s">
        <v>20</v>
      </c>
      <c r="F174" s="14" t="s">
        <v>42</v>
      </c>
      <c r="G174" s="11" t="s">
        <v>482</v>
      </c>
      <c r="H174" s="11" t="s">
        <v>494</v>
      </c>
      <c r="I174" s="11" t="s">
        <v>41</v>
      </c>
      <c r="J174" s="13" t="s">
        <v>107</v>
      </c>
      <c r="K174" s="18"/>
      <c r="L174" s="55"/>
      <c r="M174" s="18">
        <v>1387500</v>
      </c>
      <c r="N174" s="26">
        <f t="shared" si="53"/>
        <v>1554000.0000000002</v>
      </c>
      <c r="O174" s="28" t="s">
        <v>32</v>
      </c>
      <c r="P174" s="23"/>
      <c r="Q174" s="17"/>
      <c r="R174" s="17"/>
      <c r="S174" s="17"/>
      <c r="T174" s="17"/>
      <c r="U174" s="17"/>
      <c r="V174" s="17"/>
      <c r="W174" s="17"/>
      <c r="X174" s="17"/>
      <c r="Y174" s="17"/>
      <c r="Z174" s="17"/>
    </row>
    <row r="175" spans="1:26" ht="124.5" customHeight="1" x14ac:dyDescent="0.25">
      <c r="A175" s="11">
        <v>161</v>
      </c>
      <c r="B175" s="12" t="s">
        <v>45</v>
      </c>
      <c r="C175" s="56" t="s">
        <v>303</v>
      </c>
      <c r="D175" s="54" t="s">
        <v>304</v>
      </c>
      <c r="E175" s="11" t="s">
        <v>20</v>
      </c>
      <c r="F175" s="14" t="s">
        <v>42</v>
      </c>
      <c r="G175" s="11" t="s">
        <v>482</v>
      </c>
      <c r="H175" s="11" t="s">
        <v>348</v>
      </c>
      <c r="I175" s="11" t="s">
        <v>41</v>
      </c>
      <c r="J175" s="13" t="s">
        <v>107</v>
      </c>
      <c r="K175" s="18"/>
      <c r="L175" s="55"/>
      <c r="M175" s="18">
        <v>1000000</v>
      </c>
      <c r="N175" s="26">
        <f t="shared" ref="N175" si="56">M175*1.12</f>
        <v>1120000</v>
      </c>
      <c r="O175" s="28" t="s">
        <v>32</v>
      </c>
      <c r="P175" s="23"/>
      <c r="Q175" s="17"/>
      <c r="R175" s="17"/>
      <c r="S175" s="17"/>
      <c r="T175" s="17"/>
      <c r="U175" s="17"/>
      <c r="V175" s="17"/>
      <c r="W175" s="17"/>
      <c r="X175" s="17"/>
      <c r="Y175" s="17"/>
      <c r="Z175" s="17"/>
    </row>
    <row r="176" spans="1:26" ht="126.75" customHeight="1" x14ac:dyDescent="0.25">
      <c r="A176" s="11">
        <v>162</v>
      </c>
      <c r="B176" s="12" t="s">
        <v>45</v>
      </c>
      <c r="C176" s="56" t="s">
        <v>423</v>
      </c>
      <c r="D176" s="54" t="s">
        <v>424</v>
      </c>
      <c r="E176" s="11" t="s">
        <v>24</v>
      </c>
      <c r="F176" s="14" t="s">
        <v>42</v>
      </c>
      <c r="G176" s="11" t="s">
        <v>482</v>
      </c>
      <c r="H176" s="11" t="s">
        <v>494</v>
      </c>
      <c r="I176" s="11" t="s">
        <v>41</v>
      </c>
      <c r="J176" s="13" t="s">
        <v>21</v>
      </c>
      <c r="K176" s="18"/>
      <c r="L176" s="55"/>
      <c r="M176" s="18">
        <v>14236168</v>
      </c>
      <c r="N176" s="26">
        <f t="shared" ref="N176" si="57">M176*1.12</f>
        <v>15944508.160000002</v>
      </c>
      <c r="O176" s="28" t="s">
        <v>32</v>
      </c>
      <c r="P176" s="17"/>
      <c r="Q176" s="17"/>
      <c r="R176" s="17"/>
      <c r="S176" s="17"/>
      <c r="T176" s="17"/>
      <c r="U176" s="17"/>
      <c r="V176" s="17"/>
      <c r="W176" s="17"/>
      <c r="X176" s="17"/>
      <c r="Y176" s="17"/>
      <c r="Z176" s="17"/>
    </row>
    <row r="177" spans="1:26" ht="100.5" customHeight="1" x14ac:dyDescent="0.25">
      <c r="A177" s="11">
        <v>163</v>
      </c>
      <c r="B177" s="12" t="s">
        <v>45</v>
      </c>
      <c r="C177" s="56" t="s">
        <v>423</v>
      </c>
      <c r="D177" s="54" t="s">
        <v>424</v>
      </c>
      <c r="E177" s="11" t="s">
        <v>20</v>
      </c>
      <c r="F177" s="14" t="s">
        <v>42</v>
      </c>
      <c r="G177" s="11" t="s">
        <v>482</v>
      </c>
      <c r="H177" s="11" t="s">
        <v>348</v>
      </c>
      <c r="I177" s="11" t="s">
        <v>41</v>
      </c>
      <c r="J177" s="13" t="s">
        <v>21</v>
      </c>
      <c r="K177" s="18"/>
      <c r="L177" s="55"/>
      <c r="M177" s="18">
        <v>560000</v>
      </c>
      <c r="N177" s="26">
        <f t="shared" ref="N177" si="58">M177*1.12</f>
        <v>627200.00000000012</v>
      </c>
      <c r="O177" s="28" t="s">
        <v>32</v>
      </c>
      <c r="P177" s="17"/>
      <c r="Q177" s="17"/>
      <c r="R177" s="17"/>
      <c r="S177" s="17"/>
      <c r="T177" s="17"/>
      <c r="U177" s="17"/>
      <c r="V177" s="17"/>
      <c r="W177" s="17"/>
      <c r="X177" s="17"/>
      <c r="Y177" s="17"/>
      <c r="Z177" s="17"/>
    </row>
    <row r="178" spans="1:26" ht="75" customHeight="1" x14ac:dyDescent="0.25">
      <c r="A178" s="11">
        <v>164</v>
      </c>
      <c r="B178" s="12" t="s">
        <v>45</v>
      </c>
      <c r="C178" s="56" t="s">
        <v>349</v>
      </c>
      <c r="D178" s="54" t="s">
        <v>350</v>
      </c>
      <c r="E178" s="11" t="s">
        <v>24</v>
      </c>
      <c r="F178" s="14" t="s">
        <v>42</v>
      </c>
      <c r="G178" s="11" t="s">
        <v>482</v>
      </c>
      <c r="H178" s="11" t="s">
        <v>348</v>
      </c>
      <c r="I178" s="11" t="s">
        <v>41</v>
      </c>
      <c r="J178" s="13" t="s">
        <v>107</v>
      </c>
      <c r="K178" s="18"/>
      <c r="L178" s="55"/>
      <c r="M178" s="18">
        <v>13835800</v>
      </c>
      <c r="N178" s="26">
        <f t="shared" ref="N178" si="59">M178*1.12</f>
        <v>15496096.000000002</v>
      </c>
      <c r="O178" s="28" t="s">
        <v>32</v>
      </c>
      <c r="P178" s="17"/>
      <c r="Q178" s="17"/>
      <c r="R178" s="17"/>
      <c r="S178" s="17"/>
      <c r="T178" s="17"/>
      <c r="U178" s="17"/>
      <c r="V178" s="17"/>
      <c r="W178" s="17"/>
      <c r="X178" s="17"/>
      <c r="Y178" s="17"/>
      <c r="Z178" s="17"/>
    </row>
    <row r="179" spans="1:26" ht="94.5" customHeight="1" x14ac:dyDescent="0.25">
      <c r="A179" s="11">
        <v>165</v>
      </c>
      <c r="B179" s="12" t="s">
        <v>45</v>
      </c>
      <c r="C179" s="13" t="s">
        <v>224</v>
      </c>
      <c r="D179" s="13" t="s">
        <v>225</v>
      </c>
      <c r="E179" s="11" t="s">
        <v>20</v>
      </c>
      <c r="F179" s="14" t="s">
        <v>42</v>
      </c>
      <c r="G179" s="11" t="s">
        <v>482</v>
      </c>
      <c r="H179" s="11" t="s">
        <v>497</v>
      </c>
      <c r="I179" s="13" t="s">
        <v>239</v>
      </c>
      <c r="J179" s="13" t="s">
        <v>107</v>
      </c>
      <c r="K179" s="13">
        <v>1</v>
      </c>
      <c r="L179" s="18">
        <v>3000000</v>
      </c>
      <c r="M179" s="18">
        <f>L179*K179</f>
        <v>3000000</v>
      </c>
      <c r="N179" s="18">
        <f t="shared" ref="N179:N229" si="60">M179*1.12</f>
        <v>3360000.0000000005</v>
      </c>
      <c r="O179" s="13" t="s">
        <v>32</v>
      </c>
      <c r="P179" s="17"/>
      <c r="Q179" s="17"/>
      <c r="R179" s="17"/>
      <c r="S179" s="17"/>
      <c r="T179" s="17"/>
      <c r="U179" s="17"/>
      <c r="V179" s="17"/>
      <c r="W179" s="17"/>
      <c r="X179" s="17"/>
      <c r="Y179" s="17"/>
      <c r="Z179" s="17"/>
    </row>
    <row r="180" spans="1:26" ht="117.75" customHeight="1" x14ac:dyDescent="0.25">
      <c r="A180" s="11">
        <v>166</v>
      </c>
      <c r="B180" s="12" t="s">
        <v>45</v>
      </c>
      <c r="C180" s="13" t="s">
        <v>475</v>
      </c>
      <c r="D180" s="13" t="s">
        <v>453</v>
      </c>
      <c r="E180" s="13" t="s">
        <v>24</v>
      </c>
      <c r="F180" s="14" t="s">
        <v>42</v>
      </c>
      <c r="G180" s="11" t="s">
        <v>482</v>
      </c>
      <c r="H180" s="11" t="s">
        <v>497</v>
      </c>
      <c r="I180" s="13" t="s">
        <v>239</v>
      </c>
      <c r="J180" s="13" t="s">
        <v>107</v>
      </c>
      <c r="K180" s="13">
        <v>1</v>
      </c>
      <c r="L180" s="18">
        <v>8500000</v>
      </c>
      <c r="M180" s="18">
        <f t="shared" ref="M180:M229" si="61">L180*K180</f>
        <v>8500000</v>
      </c>
      <c r="N180" s="18">
        <f t="shared" si="60"/>
        <v>9520000</v>
      </c>
      <c r="O180" s="13" t="s">
        <v>32</v>
      </c>
      <c r="P180" s="17"/>
      <c r="Q180" s="17"/>
      <c r="R180" s="17"/>
      <c r="S180" s="17"/>
      <c r="T180" s="17"/>
      <c r="U180" s="17"/>
      <c r="V180" s="17"/>
      <c r="W180" s="17"/>
      <c r="X180" s="17"/>
      <c r="Y180" s="17"/>
      <c r="Z180" s="17"/>
    </row>
    <row r="181" spans="1:26" ht="126.75" customHeight="1" x14ac:dyDescent="0.25">
      <c r="A181" s="11">
        <v>167</v>
      </c>
      <c r="B181" s="12" t="s">
        <v>45</v>
      </c>
      <c r="C181" s="13" t="s">
        <v>476</v>
      </c>
      <c r="D181" s="13" t="s">
        <v>454</v>
      </c>
      <c r="E181" s="13" t="s">
        <v>24</v>
      </c>
      <c r="F181" s="14" t="s">
        <v>42</v>
      </c>
      <c r="G181" s="11" t="s">
        <v>482</v>
      </c>
      <c r="H181" s="11" t="s">
        <v>494</v>
      </c>
      <c r="I181" s="13" t="s">
        <v>239</v>
      </c>
      <c r="J181" s="13" t="s">
        <v>107</v>
      </c>
      <c r="K181" s="13">
        <v>4</v>
      </c>
      <c r="L181" s="18">
        <f>22321000/4</f>
        <v>5580250</v>
      </c>
      <c r="M181" s="18">
        <f t="shared" si="61"/>
        <v>22321000</v>
      </c>
      <c r="N181" s="18">
        <f t="shared" si="60"/>
        <v>24999520.000000004</v>
      </c>
      <c r="O181" s="13" t="s">
        <v>32</v>
      </c>
      <c r="P181" s="17"/>
      <c r="Q181" s="17"/>
      <c r="R181" s="17"/>
      <c r="S181" s="17"/>
      <c r="T181" s="17"/>
      <c r="U181" s="17"/>
      <c r="V181" s="17"/>
      <c r="W181" s="17"/>
      <c r="X181" s="17"/>
      <c r="Y181" s="17"/>
      <c r="Z181" s="17"/>
    </row>
    <row r="182" spans="1:26" ht="232.5" customHeight="1" x14ac:dyDescent="0.25">
      <c r="A182" s="11">
        <v>168</v>
      </c>
      <c r="B182" s="12" t="s">
        <v>45</v>
      </c>
      <c r="C182" s="13" t="s">
        <v>477</v>
      </c>
      <c r="D182" s="57" t="s">
        <v>455</v>
      </c>
      <c r="E182" s="13" t="s">
        <v>24</v>
      </c>
      <c r="F182" s="14" t="s">
        <v>42</v>
      </c>
      <c r="G182" s="11" t="s">
        <v>482</v>
      </c>
      <c r="H182" s="11" t="s">
        <v>494</v>
      </c>
      <c r="I182" s="13" t="s">
        <v>239</v>
      </c>
      <c r="J182" s="13" t="s">
        <v>107</v>
      </c>
      <c r="K182" s="13">
        <v>1</v>
      </c>
      <c r="L182" s="18">
        <v>6921000</v>
      </c>
      <c r="M182" s="18">
        <f t="shared" si="61"/>
        <v>6921000</v>
      </c>
      <c r="N182" s="18">
        <f t="shared" si="60"/>
        <v>7751520.0000000009</v>
      </c>
      <c r="O182" s="13" t="s">
        <v>32</v>
      </c>
      <c r="P182" s="17"/>
      <c r="Q182" s="17"/>
      <c r="R182" s="17"/>
      <c r="S182" s="17"/>
      <c r="T182" s="17"/>
      <c r="U182" s="17"/>
      <c r="V182" s="17"/>
      <c r="W182" s="17"/>
      <c r="X182" s="17"/>
      <c r="Y182" s="17"/>
      <c r="Z182" s="17"/>
    </row>
    <row r="183" spans="1:26" ht="102.75" customHeight="1" x14ac:dyDescent="0.25">
      <c r="A183" s="11">
        <v>169</v>
      </c>
      <c r="B183" s="12" t="s">
        <v>45</v>
      </c>
      <c r="C183" s="33" t="s">
        <v>226</v>
      </c>
      <c r="D183" s="13" t="s">
        <v>227</v>
      </c>
      <c r="E183" s="13" t="s">
        <v>24</v>
      </c>
      <c r="F183" s="14" t="s">
        <v>42</v>
      </c>
      <c r="G183" s="11" t="s">
        <v>482</v>
      </c>
      <c r="H183" s="11" t="s">
        <v>494</v>
      </c>
      <c r="I183" s="13" t="s">
        <v>239</v>
      </c>
      <c r="J183" s="13" t="s">
        <v>107</v>
      </c>
      <c r="K183" s="13">
        <v>1</v>
      </c>
      <c r="L183" s="18">
        <v>9933000</v>
      </c>
      <c r="M183" s="18">
        <f t="shared" si="61"/>
        <v>9933000</v>
      </c>
      <c r="N183" s="18">
        <f t="shared" si="60"/>
        <v>11124960.000000002</v>
      </c>
      <c r="O183" s="13" t="s">
        <v>32</v>
      </c>
      <c r="P183" s="17"/>
      <c r="Q183" s="17"/>
      <c r="R183" s="17"/>
      <c r="S183" s="17"/>
      <c r="T183" s="17"/>
      <c r="U183" s="17"/>
      <c r="V183" s="17"/>
      <c r="W183" s="17"/>
      <c r="X183" s="17"/>
      <c r="Y183" s="17"/>
      <c r="Z183" s="17"/>
    </row>
    <row r="184" spans="1:26" ht="54.75" customHeight="1" x14ac:dyDescent="0.25">
      <c r="A184" s="11">
        <v>170</v>
      </c>
      <c r="B184" s="12" t="s">
        <v>45</v>
      </c>
      <c r="C184" s="33" t="s">
        <v>228</v>
      </c>
      <c r="D184" s="13" t="s">
        <v>489</v>
      </c>
      <c r="E184" s="11" t="s">
        <v>20</v>
      </c>
      <c r="F184" s="14" t="s">
        <v>42</v>
      </c>
      <c r="G184" s="11" t="s">
        <v>482</v>
      </c>
      <c r="H184" s="11" t="s">
        <v>348</v>
      </c>
      <c r="I184" s="13" t="s">
        <v>239</v>
      </c>
      <c r="J184" s="13" t="s">
        <v>107</v>
      </c>
      <c r="K184" s="13">
        <v>1</v>
      </c>
      <c r="L184" s="18">
        <v>3000000</v>
      </c>
      <c r="M184" s="18">
        <f t="shared" si="61"/>
        <v>3000000</v>
      </c>
      <c r="N184" s="18">
        <f t="shared" si="60"/>
        <v>3360000.0000000005</v>
      </c>
      <c r="O184" s="13" t="s">
        <v>32</v>
      </c>
      <c r="P184" s="17"/>
      <c r="Q184" s="17"/>
      <c r="R184" s="17"/>
      <c r="S184" s="17"/>
      <c r="T184" s="17"/>
      <c r="U184" s="17"/>
      <c r="V184" s="17"/>
      <c r="W184" s="17"/>
      <c r="X184" s="17"/>
      <c r="Y184" s="17"/>
      <c r="Z184" s="17"/>
    </row>
    <row r="185" spans="1:26" ht="100.5" customHeight="1" x14ac:dyDescent="0.25">
      <c r="A185" s="11">
        <v>171</v>
      </c>
      <c r="B185" s="12" t="s">
        <v>45</v>
      </c>
      <c r="C185" s="33" t="s">
        <v>230</v>
      </c>
      <c r="D185" s="13" t="s">
        <v>229</v>
      </c>
      <c r="E185" s="11" t="s">
        <v>20</v>
      </c>
      <c r="F185" s="14" t="s">
        <v>42</v>
      </c>
      <c r="G185" s="11" t="s">
        <v>482</v>
      </c>
      <c r="H185" s="11" t="s">
        <v>348</v>
      </c>
      <c r="I185" s="13" t="s">
        <v>239</v>
      </c>
      <c r="J185" s="13" t="s">
        <v>107</v>
      </c>
      <c r="K185" s="13">
        <v>1</v>
      </c>
      <c r="L185" s="18">
        <v>2900000</v>
      </c>
      <c r="M185" s="18">
        <f t="shared" si="61"/>
        <v>2900000</v>
      </c>
      <c r="N185" s="18">
        <f t="shared" si="60"/>
        <v>3248000.0000000005</v>
      </c>
      <c r="O185" s="13" t="s">
        <v>32</v>
      </c>
      <c r="P185" s="17"/>
      <c r="Q185" s="17"/>
      <c r="R185" s="17"/>
      <c r="S185" s="17"/>
      <c r="T185" s="17"/>
      <c r="U185" s="17"/>
      <c r="V185" s="17"/>
      <c r="W185" s="17"/>
      <c r="X185" s="17"/>
      <c r="Y185" s="17"/>
      <c r="Z185" s="17"/>
    </row>
    <row r="186" spans="1:26" ht="231" customHeight="1" x14ac:dyDescent="0.25">
      <c r="A186" s="11">
        <v>172</v>
      </c>
      <c r="B186" s="12" t="s">
        <v>45</v>
      </c>
      <c r="C186" s="33" t="s">
        <v>231</v>
      </c>
      <c r="D186" s="58" t="s">
        <v>513</v>
      </c>
      <c r="E186" s="13" t="s">
        <v>24</v>
      </c>
      <c r="F186" s="14" t="s">
        <v>42</v>
      </c>
      <c r="G186" s="11" t="s">
        <v>482</v>
      </c>
      <c r="H186" s="11" t="s">
        <v>494</v>
      </c>
      <c r="I186" s="13" t="s">
        <v>239</v>
      </c>
      <c r="J186" s="13" t="s">
        <v>107</v>
      </c>
      <c r="K186" s="13">
        <v>2</v>
      </c>
      <c r="L186" s="18">
        <v>14000000</v>
      </c>
      <c r="M186" s="18">
        <f t="shared" si="61"/>
        <v>28000000</v>
      </c>
      <c r="N186" s="18">
        <f t="shared" si="60"/>
        <v>31360000.000000004</v>
      </c>
      <c r="O186" s="13" t="s">
        <v>32</v>
      </c>
      <c r="P186" s="17"/>
      <c r="Q186" s="17"/>
      <c r="R186" s="17"/>
      <c r="S186" s="17"/>
      <c r="T186" s="17"/>
      <c r="U186" s="17"/>
      <c r="V186" s="17"/>
      <c r="W186" s="17"/>
      <c r="X186" s="17"/>
      <c r="Y186" s="17"/>
      <c r="Z186" s="17"/>
    </row>
    <row r="187" spans="1:26" ht="110.25" customHeight="1" x14ac:dyDescent="0.25">
      <c r="A187" s="11">
        <v>173</v>
      </c>
      <c r="B187" s="12" t="s">
        <v>45</v>
      </c>
      <c r="C187" s="33" t="s">
        <v>226</v>
      </c>
      <c r="D187" s="13" t="s">
        <v>227</v>
      </c>
      <c r="E187" s="13" t="s">
        <v>24</v>
      </c>
      <c r="F187" s="14" t="s">
        <v>42</v>
      </c>
      <c r="G187" s="11" t="s">
        <v>482</v>
      </c>
      <c r="H187" s="11" t="s">
        <v>348</v>
      </c>
      <c r="I187" s="13" t="s">
        <v>239</v>
      </c>
      <c r="J187" s="13" t="s">
        <v>107</v>
      </c>
      <c r="K187" s="13">
        <v>1</v>
      </c>
      <c r="L187" s="18">
        <v>9412000</v>
      </c>
      <c r="M187" s="18">
        <f t="shared" si="61"/>
        <v>9412000</v>
      </c>
      <c r="N187" s="18">
        <f t="shared" si="60"/>
        <v>10541440.000000002</v>
      </c>
      <c r="O187" s="13" t="s">
        <v>32</v>
      </c>
      <c r="P187" s="17"/>
      <c r="Q187" s="17"/>
      <c r="R187" s="17"/>
      <c r="S187" s="17"/>
      <c r="T187" s="17"/>
      <c r="U187" s="17"/>
      <c r="V187" s="17"/>
      <c r="W187" s="17"/>
      <c r="X187" s="17"/>
      <c r="Y187" s="17"/>
      <c r="Z187" s="17"/>
    </row>
    <row r="188" spans="1:26" ht="100.5" customHeight="1" x14ac:dyDescent="0.25">
      <c r="A188" s="11">
        <v>174</v>
      </c>
      <c r="B188" s="12" t="s">
        <v>45</v>
      </c>
      <c r="C188" s="13" t="s">
        <v>475</v>
      </c>
      <c r="D188" s="13" t="s">
        <v>456</v>
      </c>
      <c r="E188" s="13" t="s">
        <v>24</v>
      </c>
      <c r="F188" s="14" t="s">
        <v>42</v>
      </c>
      <c r="G188" s="11" t="s">
        <v>482</v>
      </c>
      <c r="H188" s="11" t="s">
        <v>348</v>
      </c>
      <c r="I188" s="13" t="s">
        <v>239</v>
      </c>
      <c r="J188" s="13" t="s">
        <v>107</v>
      </c>
      <c r="K188" s="13">
        <v>1</v>
      </c>
      <c r="L188" s="18">
        <v>8500000</v>
      </c>
      <c r="M188" s="18">
        <f t="shared" si="61"/>
        <v>8500000</v>
      </c>
      <c r="N188" s="18">
        <f t="shared" si="60"/>
        <v>9520000</v>
      </c>
      <c r="O188" s="13" t="s">
        <v>32</v>
      </c>
      <c r="P188" s="17"/>
      <c r="Q188" s="17"/>
      <c r="R188" s="17"/>
      <c r="S188" s="17"/>
      <c r="T188" s="17"/>
      <c r="U188" s="17"/>
      <c r="V188" s="17"/>
      <c r="W188" s="17"/>
      <c r="X188" s="17"/>
      <c r="Y188" s="17"/>
      <c r="Z188" s="17"/>
    </row>
    <row r="189" spans="1:26" ht="90.75" customHeight="1" x14ac:dyDescent="0.25">
      <c r="A189" s="11">
        <v>175</v>
      </c>
      <c r="B189" s="12" t="s">
        <v>45</v>
      </c>
      <c r="C189" s="13" t="s">
        <v>232</v>
      </c>
      <c r="D189" s="13" t="s">
        <v>457</v>
      </c>
      <c r="E189" s="11" t="s">
        <v>20</v>
      </c>
      <c r="F189" s="14" t="s">
        <v>42</v>
      </c>
      <c r="G189" s="11" t="s">
        <v>482</v>
      </c>
      <c r="H189" s="11" t="s">
        <v>348</v>
      </c>
      <c r="I189" s="13" t="s">
        <v>239</v>
      </c>
      <c r="J189" s="13" t="s">
        <v>107</v>
      </c>
      <c r="K189" s="13">
        <v>1</v>
      </c>
      <c r="L189" s="18">
        <v>1050000</v>
      </c>
      <c r="M189" s="18">
        <f t="shared" si="61"/>
        <v>1050000</v>
      </c>
      <c r="N189" s="18">
        <f t="shared" si="60"/>
        <v>1176000</v>
      </c>
      <c r="O189" s="13" t="s">
        <v>32</v>
      </c>
      <c r="P189" s="17"/>
      <c r="Q189" s="17"/>
      <c r="R189" s="17"/>
      <c r="S189" s="17"/>
      <c r="T189" s="17"/>
      <c r="U189" s="17"/>
      <c r="V189" s="17"/>
      <c r="W189" s="17"/>
      <c r="X189" s="17"/>
      <c r="Y189" s="17"/>
      <c r="Z189" s="17"/>
    </row>
    <row r="190" spans="1:26" ht="132" customHeight="1" x14ac:dyDescent="0.25">
      <c r="A190" s="11">
        <v>176</v>
      </c>
      <c r="B190" s="12" t="s">
        <v>45</v>
      </c>
      <c r="C190" s="13" t="s">
        <v>233</v>
      </c>
      <c r="D190" s="13" t="s">
        <v>234</v>
      </c>
      <c r="E190" s="11" t="s">
        <v>20</v>
      </c>
      <c r="F190" s="14" t="s">
        <v>42</v>
      </c>
      <c r="G190" s="11" t="s">
        <v>482</v>
      </c>
      <c r="H190" s="11" t="s">
        <v>348</v>
      </c>
      <c r="I190" s="13" t="s">
        <v>239</v>
      </c>
      <c r="J190" s="13" t="s">
        <v>107</v>
      </c>
      <c r="K190" s="13">
        <v>1</v>
      </c>
      <c r="L190" s="18">
        <v>250000</v>
      </c>
      <c r="M190" s="18">
        <f t="shared" si="61"/>
        <v>250000</v>
      </c>
      <c r="N190" s="18">
        <f t="shared" si="60"/>
        <v>280000</v>
      </c>
      <c r="O190" s="13" t="s">
        <v>32</v>
      </c>
      <c r="P190" s="17"/>
      <c r="Q190" s="17"/>
      <c r="R190" s="17"/>
      <c r="S190" s="17"/>
      <c r="T190" s="17"/>
      <c r="U190" s="17"/>
      <c r="V190" s="17"/>
      <c r="W190" s="17"/>
      <c r="X190" s="17"/>
      <c r="Y190" s="17"/>
      <c r="Z190" s="17"/>
    </row>
    <row r="191" spans="1:26" ht="73.5" customHeight="1" x14ac:dyDescent="0.25">
      <c r="A191" s="11">
        <v>177</v>
      </c>
      <c r="B191" s="12" t="s">
        <v>45</v>
      </c>
      <c r="C191" s="13" t="s">
        <v>479</v>
      </c>
      <c r="D191" s="13" t="s">
        <v>458</v>
      </c>
      <c r="E191" s="11" t="s">
        <v>20</v>
      </c>
      <c r="F191" s="14" t="s">
        <v>42</v>
      </c>
      <c r="G191" s="11" t="s">
        <v>482</v>
      </c>
      <c r="H191" s="11" t="s">
        <v>496</v>
      </c>
      <c r="I191" s="13" t="s">
        <v>239</v>
      </c>
      <c r="J191" s="13" t="s">
        <v>107</v>
      </c>
      <c r="K191" s="13">
        <v>1</v>
      </c>
      <c r="L191" s="18">
        <v>5766000</v>
      </c>
      <c r="M191" s="18">
        <f t="shared" si="61"/>
        <v>5766000</v>
      </c>
      <c r="N191" s="18">
        <f t="shared" si="60"/>
        <v>6457920.0000000009</v>
      </c>
      <c r="O191" s="13" t="s">
        <v>32</v>
      </c>
      <c r="P191" s="17"/>
      <c r="Q191" s="17"/>
      <c r="R191" s="17"/>
      <c r="S191" s="17"/>
      <c r="T191" s="17"/>
      <c r="U191" s="17"/>
      <c r="V191" s="17"/>
      <c r="W191" s="17"/>
      <c r="X191" s="17"/>
      <c r="Y191" s="17"/>
      <c r="Z191" s="17"/>
    </row>
    <row r="192" spans="1:26" ht="73.5" customHeight="1" x14ac:dyDescent="0.25">
      <c r="A192" s="11">
        <v>178</v>
      </c>
      <c r="B192" s="12" t="s">
        <v>45</v>
      </c>
      <c r="C192" s="13" t="s">
        <v>479</v>
      </c>
      <c r="D192" s="13" t="s">
        <v>458</v>
      </c>
      <c r="E192" s="11" t="s">
        <v>20</v>
      </c>
      <c r="F192" s="14" t="s">
        <v>42</v>
      </c>
      <c r="G192" s="11" t="s">
        <v>482</v>
      </c>
      <c r="H192" s="11" t="s">
        <v>503</v>
      </c>
      <c r="I192" s="13" t="s">
        <v>239</v>
      </c>
      <c r="J192" s="13" t="s">
        <v>107</v>
      </c>
      <c r="K192" s="13">
        <v>1</v>
      </c>
      <c r="L192" s="18">
        <v>5357000</v>
      </c>
      <c r="M192" s="18">
        <f t="shared" si="61"/>
        <v>5357000</v>
      </c>
      <c r="N192" s="18">
        <f t="shared" si="60"/>
        <v>5999840.0000000009</v>
      </c>
      <c r="O192" s="13" t="s">
        <v>32</v>
      </c>
      <c r="P192" s="17"/>
      <c r="Q192" s="17"/>
      <c r="R192" s="17"/>
      <c r="S192" s="17"/>
      <c r="T192" s="17"/>
      <c r="U192" s="17"/>
      <c r="V192" s="17"/>
      <c r="W192" s="17"/>
      <c r="X192" s="17"/>
      <c r="Y192" s="17"/>
      <c r="Z192" s="17"/>
    </row>
    <row r="193" spans="1:26" ht="73.5" customHeight="1" x14ac:dyDescent="0.25">
      <c r="A193" s="11">
        <v>179</v>
      </c>
      <c r="B193" s="12" t="s">
        <v>45</v>
      </c>
      <c r="C193" s="13" t="s">
        <v>143</v>
      </c>
      <c r="D193" s="13" t="s">
        <v>309</v>
      </c>
      <c r="E193" s="11" t="s">
        <v>20</v>
      </c>
      <c r="F193" s="14" t="s">
        <v>42</v>
      </c>
      <c r="G193" s="11" t="s">
        <v>482</v>
      </c>
      <c r="H193" s="14" t="s">
        <v>161</v>
      </c>
      <c r="I193" s="13" t="s">
        <v>17</v>
      </c>
      <c r="J193" s="13" t="s">
        <v>310</v>
      </c>
      <c r="K193" s="13">
        <v>72</v>
      </c>
      <c r="L193" s="13">
        <v>500</v>
      </c>
      <c r="M193" s="15">
        <f>L193*K193</f>
        <v>36000</v>
      </c>
      <c r="N193" s="18">
        <f>M193*1.12</f>
        <v>40320.000000000007</v>
      </c>
      <c r="O193" s="13" t="s">
        <v>32</v>
      </c>
      <c r="P193" s="17"/>
      <c r="Q193" s="17"/>
      <c r="R193" s="17"/>
      <c r="S193" s="17"/>
      <c r="T193" s="17"/>
      <c r="U193" s="17"/>
      <c r="V193" s="17"/>
      <c r="W193" s="17"/>
      <c r="X193" s="17"/>
      <c r="Y193" s="17"/>
      <c r="Z193" s="17"/>
    </row>
    <row r="194" spans="1:26" ht="120.75" customHeight="1" x14ac:dyDescent="0.25">
      <c r="A194" s="11">
        <v>180</v>
      </c>
      <c r="B194" s="12" t="s">
        <v>45</v>
      </c>
      <c r="C194" s="13" t="s">
        <v>332</v>
      </c>
      <c r="D194" s="13" t="s">
        <v>332</v>
      </c>
      <c r="E194" s="11" t="s">
        <v>20</v>
      </c>
      <c r="F194" s="14" t="s">
        <v>42</v>
      </c>
      <c r="G194" s="11" t="s">
        <v>482</v>
      </c>
      <c r="H194" s="11" t="s">
        <v>510</v>
      </c>
      <c r="I194" s="13" t="s">
        <v>17</v>
      </c>
      <c r="J194" s="13" t="s">
        <v>107</v>
      </c>
      <c r="K194" s="13"/>
      <c r="L194" s="13"/>
      <c r="M194" s="15">
        <v>60000</v>
      </c>
      <c r="N194" s="18">
        <f>M194*1.12</f>
        <v>67200</v>
      </c>
      <c r="O194" s="13" t="s">
        <v>32</v>
      </c>
      <c r="P194" s="17"/>
      <c r="Q194" s="17"/>
      <c r="R194" s="17"/>
      <c r="S194" s="17"/>
      <c r="T194" s="17"/>
      <c r="U194" s="17"/>
      <c r="V194" s="17"/>
      <c r="W194" s="17"/>
      <c r="X194" s="17"/>
      <c r="Y194" s="17"/>
      <c r="Z194" s="17"/>
    </row>
    <row r="195" spans="1:26" ht="106.5" customHeight="1" x14ac:dyDescent="0.25">
      <c r="A195" s="11">
        <v>181</v>
      </c>
      <c r="B195" s="12" t="s">
        <v>45</v>
      </c>
      <c r="C195" s="13" t="s">
        <v>333</v>
      </c>
      <c r="D195" s="13" t="s">
        <v>333</v>
      </c>
      <c r="E195" s="11" t="s">
        <v>20</v>
      </c>
      <c r="F195" s="14" t="s">
        <v>42</v>
      </c>
      <c r="G195" s="11" t="s">
        <v>482</v>
      </c>
      <c r="H195" s="11" t="s">
        <v>510</v>
      </c>
      <c r="I195" s="13" t="s">
        <v>17</v>
      </c>
      <c r="J195" s="13" t="s">
        <v>107</v>
      </c>
      <c r="K195" s="13"/>
      <c r="L195" s="13"/>
      <c r="M195" s="15">
        <v>32100</v>
      </c>
      <c r="N195" s="18">
        <f>M195*1.12</f>
        <v>35952</v>
      </c>
      <c r="O195" s="13" t="s">
        <v>32</v>
      </c>
      <c r="P195" s="17"/>
      <c r="Q195" s="17"/>
      <c r="R195" s="17"/>
      <c r="S195" s="17"/>
      <c r="T195" s="17"/>
      <c r="U195" s="17"/>
      <c r="V195" s="17"/>
      <c r="W195" s="17"/>
      <c r="X195" s="17"/>
      <c r="Y195" s="17"/>
      <c r="Z195" s="17"/>
    </row>
    <row r="196" spans="1:26" ht="115.5" customHeight="1" x14ac:dyDescent="0.25">
      <c r="A196" s="11">
        <v>182</v>
      </c>
      <c r="B196" s="12" t="s">
        <v>45</v>
      </c>
      <c r="C196" s="13" t="s">
        <v>334</v>
      </c>
      <c r="D196" s="13" t="s">
        <v>334</v>
      </c>
      <c r="E196" s="11" t="s">
        <v>20</v>
      </c>
      <c r="F196" s="14" t="s">
        <v>42</v>
      </c>
      <c r="G196" s="11" t="s">
        <v>482</v>
      </c>
      <c r="H196" s="11" t="s">
        <v>510</v>
      </c>
      <c r="I196" s="13" t="s">
        <v>17</v>
      </c>
      <c r="J196" s="13" t="s">
        <v>107</v>
      </c>
      <c r="K196" s="13">
        <v>100</v>
      </c>
      <c r="L196" s="13">
        <v>2000</v>
      </c>
      <c r="M196" s="15">
        <f>L196*K196</f>
        <v>200000</v>
      </c>
      <c r="N196" s="18">
        <f>M196*1.12</f>
        <v>224000.00000000003</v>
      </c>
      <c r="O196" s="13" t="s">
        <v>32</v>
      </c>
      <c r="P196" s="17"/>
      <c r="Q196" s="17"/>
      <c r="R196" s="17"/>
      <c r="S196" s="17"/>
      <c r="T196" s="17"/>
      <c r="U196" s="17"/>
      <c r="V196" s="17"/>
      <c r="W196" s="17"/>
      <c r="X196" s="17"/>
      <c r="Y196" s="17"/>
      <c r="Z196" s="17"/>
    </row>
    <row r="197" spans="1:26" ht="105.75" customHeight="1" x14ac:dyDescent="0.25">
      <c r="A197" s="11">
        <v>183</v>
      </c>
      <c r="B197" s="12" t="s">
        <v>45</v>
      </c>
      <c r="C197" s="33" t="s">
        <v>339</v>
      </c>
      <c r="D197" s="33" t="s">
        <v>352</v>
      </c>
      <c r="E197" s="11" t="s">
        <v>20</v>
      </c>
      <c r="F197" s="14" t="s">
        <v>42</v>
      </c>
      <c r="G197" s="11" t="s">
        <v>482</v>
      </c>
      <c r="H197" s="11" t="s">
        <v>497</v>
      </c>
      <c r="I197" s="24" t="s">
        <v>17</v>
      </c>
      <c r="J197" s="13" t="s">
        <v>353</v>
      </c>
      <c r="K197" s="13">
        <v>5</v>
      </c>
      <c r="L197" s="32">
        <v>16000</v>
      </c>
      <c r="M197" s="15">
        <v>80000</v>
      </c>
      <c r="N197" s="15">
        <f>M197*1.12</f>
        <v>89600.000000000015</v>
      </c>
      <c r="O197" s="28" t="s">
        <v>32</v>
      </c>
      <c r="P197" s="17"/>
      <c r="Q197" s="17"/>
      <c r="R197" s="17"/>
      <c r="S197" s="17"/>
      <c r="T197" s="17"/>
      <c r="U197" s="17"/>
      <c r="V197" s="17"/>
      <c r="W197" s="17"/>
      <c r="X197" s="17"/>
      <c r="Y197" s="17"/>
      <c r="Z197" s="17"/>
    </row>
    <row r="198" spans="1:26" ht="99" customHeight="1" x14ac:dyDescent="0.25">
      <c r="A198" s="11">
        <v>184</v>
      </c>
      <c r="B198" s="12" t="s">
        <v>45</v>
      </c>
      <c r="C198" s="33" t="s">
        <v>339</v>
      </c>
      <c r="D198" s="33" t="s">
        <v>354</v>
      </c>
      <c r="E198" s="11" t="s">
        <v>20</v>
      </c>
      <c r="F198" s="14" t="s">
        <v>42</v>
      </c>
      <c r="G198" s="11" t="s">
        <v>482</v>
      </c>
      <c r="H198" s="11" t="s">
        <v>497</v>
      </c>
      <c r="I198" s="24" t="s">
        <v>17</v>
      </c>
      <c r="J198" s="13" t="s">
        <v>107</v>
      </c>
      <c r="K198" s="13">
        <v>1</v>
      </c>
      <c r="L198" s="32">
        <v>268000</v>
      </c>
      <c r="M198" s="15">
        <v>268000</v>
      </c>
      <c r="N198" s="15">
        <f t="shared" ref="N198:N204" si="62">M198*1.12</f>
        <v>300160</v>
      </c>
      <c r="O198" s="28" t="s">
        <v>32</v>
      </c>
      <c r="P198" s="17"/>
      <c r="Q198" s="17"/>
      <c r="R198" s="17"/>
      <c r="S198" s="17"/>
      <c r="T198" s="17"/>
      <c r="U198" s="17"/>
      <c r="V198" s="17"/>
      <c r="W198" s="17"/>
      <c r="X198" s="17"/>
      <c r="Y198" s="17"/>
      <c r="Z198" s="17"/>
    </row>
    <row r="199" spans="1:26" ht="98.25" customHeight="1" x14ac:dyDescent="0.25">
      <c r="A199" s="11">
        <v>185</v>
      </c>
      <c r="B199" s="12" t="s">
        <v>45</v>
      </c>
      <c r="C199" s="33" t="s">
        <v>339</v>
      </c>
      <c r="D199" s="33" t="s">
        <v>355</v>
      </c>
      <c r="E199" s="11" t="s">
        <v>20</v>
      </c>
      <c r="F199" s="14" t="s">
        <v>42</v>
      </c>
      <c r="G199" s="11" t="s">
        <v>482</v>
      </c>
      <c r="H199" s="11" t="s">
        <v>497</v>
      </c>
      <c r="I199" s="24" t="s">
        <v>17</v>
      </c>
      <c r="J199" s="13" t="s">
        <v>107</v>
      </c>
      <c r="K199" s="13">
        <v>5</v>
      </c>
      <c r="L199" s="32">
        <v>16000</v>
      </c>
      <c r="M199" s="15">
        <v>80000</v>
      </c>
      <c r="N199" s="15">
        <f t="shared" si="62"/>
        <v>89600.000000000015</v>
      </c>
      <c r="O199" s="28" t="s">
        <v>32</v>
      </c>
      <c r="P199" s="17"/>
      <c r="Q199" s="17"/>
      <c r="R199" s="17"/>
      <c r="S199" s="17"/>
      <c r="T199" s="17"/>
      <c r="U199" s="17"/>
      <c r="V199" s="17"/>
      <c r="W199" s="17"/>
      <c r="X199" s="17"/>
      <c r="Y199" s="17"/>
      <c r="Z199" s="17"/>
    </row>
    <row r="200" spans="1:26" ht="96" customHeight="1" x14ac:dyDescent="0.25">
      <c r="A200" s="11">
        <v>186</v>
      </c>
      <c r="B200" s="12" t="s">
        <v>45</v>
      </c>
      <c r="C200" s="33" t="s">
        <v>339</v>
      </c>
      <c r="D200" s="33" t="s">
        <v>356</v>
      </c>
      <c r="E200" s="11" t="s">
        <v>20</v>
      </c>
      <c r="F200" s="14" t="s">
        <v>42</v>
      </c>
      <c r="G200" s="11" t="s">
        <v>482</v>
      </c>
      <c r="H200" s="11" t="s">
        <v>497</v>
      </c>
      <c r="I200" s="24" t="s">
        <v>17</v>
      </c>
      <c r="J200" s="13" t="s">
        <v>107</v>
      </c>
      <c r="K200" s="13">
        <v>5</v>
      </c>
      <c r="L200" s="32">
        <v>7600</v>
      </c>
      <c r="M200" s="15">
        <v>38000</v>
      </c>
      <c r="N200" s="15">
        <f t="shared" si="62"/>
        <v>42560.000000000007</v>
      </c>
      <c r="O200" s="28" t="s">
        <v>32</v>
      </c>
      <c r="P200" s="17"/>
      <c r="Q200" s="17"/>
      <c r="R200" s="17"/>
      <c r="S200" s="17"/>
      <c r="T200" s="17"/>
      <c r="U200" s="17"/>
      <c r="V200" s="17"/>
      <c r="W200" s="17"/>
      <c r="X200" s="17"/>
      <c r="Y200" s="17"/>
      <c r="Z200" s="17"/>
    </row>
    <row r="201" spans="1:26" ht="95.25" customHeight="1" x14ac:dyDescent="0.25">
      <c r="A201" s="11">
        <v>187</v>
      </c>
      <c r="B201" s="12" t="s">
        <v>45</v>
      </c>
      <c r="C201" s="33" t="s">
        <v>357</v>
      </c>
      <c r="D201" s="33" t="s">
        <v>358</v>
      </c>
      <c r="E201" s="11" t="s">
        <v>20</v>
      </c>
      <c r="F201" s="14" t="s">
        <v>42</v>
      </c>
      <c r="G201" s="11" t="s">
        <v>482</v>
      </c>
      <c r="H201" s="11" t="s">
        <v>497</v>
      </c>
      <c r="I201" s="24" t="s">
        <v>17</v>
      </c>
      <c r="J201" s="13" t="s">
        <v>359</v>
      </c>
      <c r="K201" s="13">
        <v>374</v>
      </c>
      <c r="L201" s="32">
        <v>155</v>
      </c>
      <c r="M201" s="15">
        <v>57970</v>
      </c>
      <c r="N201" s="15">
        <f t="shared" si="62"/>
        <v>64926.400000000009</v>
      </c>
      <c r="O201" s="28" t="s">
        <v>32</v>
      </c>
      <c r="P201" s="17"/>
      <c r="Q201" s="17"/>
      <c r="R201" s="17"/>
      <c r="S201" s="17"/>
      <c r="T201" s="17"/>
      <c r="U201" s="17"/>
      <c r="V201" s="17"/>
      <c r="W201" s="17"/>
      <c r="X201" s="17"/>
      <c r="Y201" s="17"/>
      <c r="Z201" s="17"/>
    </row>
    <row r="202" spans="1:26" ht="73.5" customHeight="1" x14ac:dyDescent="0.25">
      <c r="A202" s="11">
        <v>188</v>
      </c>
      <c r="B202" s="12" t="s">
        <v>45</v>
      </c>
      <c r="C202" s="33" t="s">
        <v>339</v>
      </c>
      <c r="D202" s="33" t="s">
        <v>360</v>
      </c>
      <c r="E202" s="11" t="s">
        <v>20</v>
      </c>
      <c r="F202" s="14" t="s">
        <v>42</v>
      </c>
      <c r="G202" s="11" t="s">
        <v>482</v>
      </c>
      <c r="H202" s="11" t="s">
        <v>142</v>
      </c>
      <c r="I202" s="24" t="s">
        <v>17</v>
      </c>
      <c r="J202" s="13" t="s">
        <v>353</v>
      </c>
      <c r="K202" s="13">
        <v>5</v>
      </c>
      <c r="L202" s="32">
        <v>16000</v>
      </c>
      <c r="M202" s="15">
        <v>80000</v>
      </c>
      <c r="N202" s="15">
        <f t="shared" si="62"/>
        <v>89600.000000000015</v>
      </c>
      <c r="O202" s="28" t="s">
        <v>32</v>
      </c>
      <c r="P202" s="17"/>
      <c r="Q202" s="17"/>
      <c r="R202" s="17"/>
      <c r="S202" s="17"/>
      <c r="T202" s="17"/>
      <c r="U202" s="17"/>
      <c r="V202" s="17"/>
      <c r="W202" s="17"/>
      <c r="X202" s="17"/>
      <c r="Y202" s="17"/>
      <c r="Z202" s="17"/>
    </row>
    <row r="203" spans="1:26" ht="73.5" customHeight="1" x14ac:dyDescent="0.25">
      <c r="A203" s="11">
        <v>189</v>
      </c>
      <c r="B203" s="12" t="s">
        <v>45</v>
      </c>
      <c r="C203" s="33" t="s">
        <v>339</v>
      </c>
      <c r="D203" s="33" t="s">
        <v>354</v>
      </c>
      <c r="E203" s="11" t="s">
        <v>20</v>
      </c>
      <c r="F203" s="14" t="s">
        <v>42</v>
      </c>
      <c r="G203" s="11" t="s">
        <v>482</v>
      </c>
      <c r="H203" s="11" t="s">
        <v>142</v>
      </c>
      <c r="I203" s="24" t="s">
        <v>17</v>
      </c>
      <c r="J203" s="13" t="s">
        <v>353</v>
      </c>
      <c r="K203" s="13">
        <v>1</v>
      </c>
      <c r="L203" s="32">
        <v>268000</v>
      </c>
      <c r="M203" s="15">
        <v>268000</v>
      </c>
      <c r="N203" s="15">
        <f t="shared" si="62"/>
        <v>300160</v>
      </c>
      <c r="O203" s="28" t="s">
        <v>32</v>
      </c>
      <c r="P203" s="17"/>
      <c r="Q203" s="17"/>
      <c r="R203" s="17"/>
      <c r="S203" s="17"/>
      <c r="T203" s="17"/>
      <c r="U203" s="17"/>
      <c r="V203" s="17"/>
      <c r="W203" s="17"/>
      <c r="X203" s="17"/>
      <c r="Y203" s="17"/>
      <c r="Z203" s="17"/>
    </row>
    <row r="204" spans="1:26" ht="73.5" customHeight="1" x14ac:dyDescent="0.25">
      <c r="A204" s="11">
        <v>190</v>
      </c>
      <c r="B204" s="12" t="s">
        <v>45</v>
      </c>
      <c r="C204" s="33" t="s">
        <v>339</v>
      </c>
      <c r="D204" s="33" t="s">
        <v>361</v>
      </c>
      <c r="E204" s="11" t="s">
        <v>20</v>
      </c>
      <c r="F204" s="14" t="s">
        <v>42</v>
      </c>
      <c r="G204" s="11" t="s">
        <v>482</v>
      </c>
      <c r="H204" s="11" t="s">
        <v>142</v>
      </c>
      <c r="I204" s="24" t="s">
        <v>17</v>
      </c>
      <c r="J204" s="13" t="s">
        <v>353</v>
      </c>
      <c r="K204" s="13">
        <v>5</v>
      </c>
      <c r="L204" s="32">
        <v>16000</v>
      </c>
      <c r="M204" s="15">
        <v>80000</v>
      </c>
      <c r="N204" s="15">
        <f t="shared" si="62"/>
        <v>89600.000000000015</v>
      </c>
      <c r="O204" s="28" t="s">
        <v>32</v>
      </c>
      <c r="P204" s="17"/>
      <c r="Q204" s="17"/>
      <c r="R204" s="17"/>
      <c r="S204" s="17"/>
      <c r="T204" s="17"/>
      <c r="U204" s="17"/>
      <c r="V204" s="17"/>
      <c r="W204" s="17"/>
      <c r="X204" s="17"/>
      <c r="Y204" s="17"/>
      <c r="Z204" s="17"/>
    </row>
    <row r="205" spans="1:26" ht="99" customHeight="1" x14ac:dyDescent="0.25">
      <c r="A205" s="11">
        <v>191</v>
      </c>
      <c r="B205" s="12" t="s">
        <v>45</v>
      </c>
      <c r="C205" s="33" t="s">
        <v>362</v>
      </c>
      <c r="D205" s="33" t="s">
        <v>362</v>
      </c>
      <c r="E205" s="11" t="s">
        <v>20</v>
      </c>
      <c r="F205" s="14" t="s">
        <v>42</v>
      </c>
      <c r="G205" s="11" t="s">
        <v>482</v>
      </c>
      <c r="H205" s="11" t="s">
        <v>497</v>
      </c>
      <c r="I205" s="24" t="s">
        <v>17</v>
      </c>
      <c r="J205" s="13" t="s">
        <v>363</v>
      </c>
      <c r="K205" s="13">
        <v>50</v>
      </c>
      <c r="L205" s="32">
        <v>1785</v>
      </c>
      <c r="M205" s="15">
        <f>K205*L205</f>
        <v>89250</v>
      </c>
      <c r="N205" s="15">
        <f>M205*1.12</f>
        <v>99960.000000000015</v>
      </c>
      <c r="O205" s="28" t="s">
        <v>32</v>
      </c>
      <c r="P205" s="17"/>
      <c r="Q205" s="17"/>
      <c r="R205" s="17"/>
      <c r="S205" s="17"/>
      <c r="T205" s="17"/>
      <c r="U205" s="17"/>
      <c r="V205" s="17"/>
      <c r="W205" s="17"/>
      <c r="X205" s="17"/>
      <c r="Y205" s="17"/>
      <c r="Z205" s="17"/>
    </row>
    <row r="206" spans="1:26" ht="99" customHeight="1" x14ac:dyDescent="0.25">
      <c r="A206" s="11">
        <v>192</v>
      </c>
      <c r="B206" s="12" t="s">
        <v>45</v>
      </c>
      <c r="C206" s="33" t="s">
        <v>364</v>
      </c>
      <c r="D206" s="33" t="s">
        <v>364</v>
      </c>
      <c r="E206" s="11" t="s">
        <v>20</v>
      </c>
      <c r="F206" s="14" t="s">
        <v>42</v>
      </c>
      <c r="G206" s="11" t="s">
        <v>482</v>
      </c>
      <c r="H206" s="11" t="s">
        <v>497</v>
      </c>
      <c r="I206" s="24" t="s">
        <v>17</v>
      </c>
      <c r="J206" s="13" t="s">
        <v>363</v>
      </c>
      <c r="K206" s="13">
        <v>12</v>
      </c>
      <c r="L206" s="32">
        <v>2232</v>
      </c>
      <c r="M206" s="15">
        <f t="shared" ref="M206:M221" si="63">K206*L206</f>
        <v>26784</v>
      </c>
      <c r="N206" s="15">
        <f t="shared" ref="N206:N221" si="64">M206*1.12</f>
        <v>29998.080000000002</v>
      </c>
      <c r="O206" s="28" t="s">
        <v>32</v>
      </c>
      <c r="P206" s="17"/>
      <c r="Q206" s="17"/>
      <c r="R206" s="17"/>
      <c r="S206" s="17"/>
      <c r="T206" s="17"/>
      <c r="U206" s="17"/>
      <c r="V206" s="17"/>
      <c r="W206" s="17"/>
      <c r="X206" s="17"/>
      <c r="Y206" s="17"/>
      <c r="Z206" s="17"/>
    </row>
    <row r="207" spans="1:26" ht="89.25" customHeight="1" x14ac:dyDescent="0.25">
      <c r="A207" s="11">
        <v>193</v>
      </c>
      <c r="B207" s="12" t="s">
        <v>45</v>
      </c>
      <c r="C207" s="33" t="s">
        <v>365</v>
      </c>
      <c r="D207" s="33" t="s">
        <v>365</v>
      </c>
      <c r="E207" s="11" t="s">
        <v>20</v>
      </c>
      <c r="F207" s="14" t="s">
        <v>42</v>
      </c>
      <c r="G207" s="11" t="s">
        <v>482</v>
      </c>
      <c r="H207" s="11" t="s">
        <v>497</v>
      </c>
      <c r="I207" s="24" t="s">
        <v>17</v>
      </c>
      <c r="J207" s="13" t="s">
        <v>363</v>
      </c>
      <c r="K207" s="13">
        <v>32</v>
      </c>
      <c r="L207" s="32">
        <v>1875</v>
      </c>
      <c r="M207" s="15">
        <f t="shared" si="63"/>
        <v>60000</v>
      </c>
      <c r="N207" s="15">
        <f t="shared" si="64"/>
        <v>67200</v>
      </c>
      <c r="O207" s="28" t="s">
        <v>32</v>
      </c>
      <c r="P207" s="17"/>
      <c r="Q207" s="17"/>
      <c r="R207" s="17"/>
      <c r="S207" s="17"/>
      <c r="T207" s="17"/>
      <c r="U207" s="17"/>
      <c r="V207" s="17"/>
      <c r="W207" s="17"/>
      <c r="X207" s="17"/>
      <c r="Y207" s="17"/>
      <c r="Z207" s="17"/>
    </row>
    <row r="208" spans="1:26" ht="73.5" customHeight="1" x14ac:dyDescent="0.25">
      <c r="A208" s="11">
        <v>194</v>
      </c>
      <c r="B208" s="12" t="s">
        <v>45</v>
      </c>
      <c r="C208" s="33" t="s">
        <v>362</v>
      </c>
      <c r="D208" s="33" t="s">
        <v>362</v>
      </c>
      <c r="E208" s="11" t="s">
        <v>20</v>
      </c>
      <c r="F208" s="14" t="s">
        <v>42</v>
      </c>
      <c r="G208" s="11" t="s">
        <v>482</v>
      </c>
      <c r="H208" s="11" t="s">
        <v>142</v>
      </c>
      <c r="I208" s="24" t="s">
        <v>17</v>
      </c>
      <c r="J208" s="13" t="s">
        <v>363</v>
      </c>
      <c r="K208" s="13">
        <v>25</v>
      </c>
      <c r="L208" s="32">
        <v>1892</v>
      </c>
      <c r="M208" s="15">
        <f t="shared" si="63"/>
        <v>47300</v>
      </c>
      <c r="N208" s="15">
        <f t="shared" si="64"/>
        <v>52976.000000000007</v>
      </c>
      <c r="O208" s="28" t="s">
        <v>32</v>
      </c>
      <c r="P208" s="17"/>
      <c r="Q208" s="17"/>
      <c r="R208" s="17"/>
      <c r="S208" s="17"/>
      <c r="T208" s="17"/>
      <c r="U208" s="17"/>
      <c r="V208" s="17"/>
      <c r="W208" s="17"/>
      <c r="X208" s="17"/>
      <c r="Y208" s="17"/>
      <c r="Z208" s="17"/>
    </row>
    <row r="209" spans="1:26" ht="73.5" customHeight="1" x14ac:dyDescent="0.25">
      <c r="A209" s="11">
        <v>195</v>
      </c>
      <c r="B209" s="12" t="s">
        <v>45</v>
      </c>
      <c r="C209" s="33" t="s">
        <v>364</v>
      </c>
      <c r="D209" s="33" t="s">
        <v>364</v>
      </c>
      <c r="E209" s="11" t="s">
        <v>20</v>
      </c>
      <c r="F209" s="14" t="s">
        <v>42</v>
      </c>
      <c r="G209" s="11" t="s">
        <v>482</v>
      </c>
      <c r="H209" s="11" t="s">
        <v>142</v>
      </c>
      <c r="I209" s="24" t="s">
        <v>17</v>
      </c>
      <c r="J209" s="13" t="s">
        <v>363</v>
      </c>
      <c r="K209" s="13">
        <v>6</v>
      </c>
      <c r="L209" s="32">
        <v>2366</v>
      </c>
      <c r="M209" s="15">
        <f t="shared" si="63"/>
        <v>14196</v>
      </c>
      <c r="N209" s="15">
        <f t="shared" si="64"/>
        <v>15899.520000000002</v>
      </c>
      <c r="O209" s="28" t="s">
        <v>32</v>
      </c>
      <c r="P209" s="17"/>
      <c r="Q209" s="17"/>
      <c r="R209" s="17"/>
      <c r="S209" s="17"/>
      <c r="T209" s="17"/>
      <c r="U209" s="17"/>
      <c r="V209" s="17"/>
      <c r="W209" s="17"/>
      <c r="X209" s="17"/>
      <c r="Y209" s="17"/>
      <c r="Z209" s="17"/>
    </row>
    <row r="210" spans="1:26" ht="73.5" customHeight="1" x14ac:dyDescent="0.25">
      <c r="A210" s="11">
        <v>196</v>
      </c>
      <c r="B210" s="12" t="s">
        <v>45</v>
      </c>
      <c r="C210" s="33" t="s">
        <v>365</v>
      </c>
      <c r="D210" s="33" t="s">
        <v>365</v>
      </c>
      <c r="E210" s="11" t="s">
        <v>20</v>
      </c>
      <c r="F210" s="14" t="s">
        <v>42</v>
      </c>
      <c r="G210" s="11" t="s">
        <v>482</v>
      </c>
      <c r="H210" s="11" t="s">
        <v>142</v>
      </c>
      <c r="I210" s="24" t="s">
        <v>17</v>
      </c>
      <c r="J210" s="13" t="s">
        <v>363</v>
      </c>
      <c r="K210" s="13">
        <v>16</v>
      </c>
      <c r="L210" s="32">
        <v>2000</v>
      </c>
      <c r="M210" s="15">
        <f t="shared" si="63"/>
        <v>32000</v>
      </c>
      <c r="N210" s="15">
        <f t="shared" si="64"/>
        <v>35840</v>
      </c>
      <c r="O210" s="28" t="s">
        <v>32</v>
      </c>
      <c r="P210" s="17"/>
      <c r="Q210" s="17"/>
      <c r="R210" s="17"/>
      <c r="S210" s="17"/>
      <c r="T210" s="17"/>
      <c r="U210" s="17"/>
      <c r="V210" s="17"/>
      <c r="W210" s="17"/>
      <c r="X210" s="17"/>
      <c r="Y210" s="17"/>
      <c r="Z210" s="17"/>
    </row>
    <row r="211" spans="1:26" ht="91.5" customHeight="1" x14ac:dyDescent="0.25">
      <c r="A211" s="11">
        <v>197</v>
      </c>
      <c r="B211" s="12" t="s">
        <v>45</v>
      </c>
      <c r="C211" s="33" t="s">
        <v>366</v>
      </c>
      <c r="D211" s="33" t="s">
        <v>366</v>
      </c>
      <c r="E211" s="11" t="s">
        <v>20</v>
      </c>
      <c r="F211" s="14" t="s">
        <v>42</v>
      </c>
      <c r="G211" s="11" t="s">
        <v>482</v>
      </c>
      <c r="H211" s="11" t="s">
        <v>497</v>
      </c>
      <c r="I211" s="24" t="s">
        <v>17</v>
      </c>
      <c r="J211" s="13" t="s">
        <v>363</v>
      </c>
      <c r="K211" s="13">
        <v>1</v>
      </c>
      <c r="L211" s="32">
        <v>16000</v>
      </c>
      <c r="M211" s="15">
        <f t="shared" si="63"/>
        <v>16000</v>
      </c>
      <c r="N211" s="15">
        <f t="shared" si="64"/>
        <v>17920</v>
      </c>
      <c r="O211" s="28" t="s">
        <v>32</v>
      </c>
      <c r="P211" s="17"/>
      <c r="Q211" s="17"/>
      <c r="R211" s="17"/>
      <c r="S211" s="17"/>
      <c r="T211" s="17"/>
      <c r="U211" s="17"/>
      <c r="V211" s="17"/>
      <c r="W211" s="17"/>
      <c r="X211" s="17"/>
      <c r="Y211" s="17"/>
      <c r="Z211" s="17"/>
    </row>
    <row r="212" spans="1:26" ht="96.75" customHeight="1" x14ac:dyDescent="0.25">
      <c r="A212" s="11">
        <v>198</v>
      </c>
      <c r="B212" s="12" t="s">
        <v>45</v>
      </c>
      <c r="C212" s="33" t="s">
        <v>367</v>
      </c>
      <c r="D212" s="33" t="s">
        <v>367</v>
      </c>
      <c r="E212" s="11" t="s">
        <v>20</v>
      </c>
      <c r="F212" s="14" t="s">
        <v>42</v>
      </c>
      <c r="G212" s="11" t="s">
        <v>482</v>
      </c>
      <c r="H212" s="11" t="s">
        <v>497</v>
      </c>
      <c r="I212" s="24" t="s">
        <v>17</v>
      </c>
      <c r="J212" s="13" t="s">
        <v>363</v>
      </c>
      <c r="K212" s="13">
        <v>1</v>
      </c>
      <c r="L212" s="32">
        <v>9000</v>
      </c>
      <c r="M212" s="15">
        <f t="shared" si="63"/>
        <v>9000</v>
      </c>
      <c r="N212" s="15">
        <f t="shared" si="64"/>
        <v>10080.000000000002</v>
      </c>
      <c r="O212" s="28" t="s">
        <v>32</v>
      </c>
      <c r="P212" s="17"/>
      <c r="Q212" s="17"/>
      <c r="R212" s="17"/>
      <c r="S212" s="17"/>
      <c r="T212" s="17"/>
      <c r="U212" s="17"/>
      <c r="V212" s="17"/>
      <c r="W212" s="17"/>
      <c r="X212" s="17"/>
      <c r="Y212" s="17"/>
      <c r="Z212" s="17"/>
    </row>
    <row r="213" spans="1:26" ht="98.25" customHeight="1" x14ac:dyDescent="0.25">
      <c r="A213" s="11">
        <v>199</v>
      </c>
      <c r="B213" s="12" t="s">
        <v>45</v>
      </c>
      <c r="C213" s="33" t="s">
        <v>368</v>
      </c>
      <c r="D213" s="33" t="s">
        <v>368</v>
      </c>
      <c r="E213" s="11" t="s">
        <v>20</v>
      </c>
      <c r="F213" s="14" t="s">
        <v>42</v>
      </c>
      <c r="G213" s="11" t="s">
        <v>482</v>
      </c>
      <c r="H213" s="11" t="s">
        <v>497</v>
      </c>
      <c r="I213" s="24" t="s">
        <v>17</v>
      </c>
      <c r="J213" s="13" t="s">
        <v>363</v>
      </c>
      <c r="K213" s="13">
        <v>5</v>
      </c>
      <c r="L213" s="32">
        <v>22400</v>
      </c>
      <c r="M213" s="15">
        <f t="shared" si="63"/>
        <v>112000</v>
      </c>
      <c r="N213" s="15">
        <f t="shared" si="64"/>
        <v>125440.00000000001</v>
      </c>
      <c r="O213" s="28" t="s">
        <v>32</v>
      </c>
      <c r="P213" s="17"/>
      <c r="Q213" s="17"/>
      <c r="R213" s="17"/>
      <c r="S213" s="17"/>
      <c r="T213" s="17"/>
      <c r="U213" s="17"/>
      <c r="V213" s="17"/>
      <c r="W213" s="17"/>
      <c r="X213" s="17"/>
      <c r="Y213" s="17"/>
      <c r="Z213" s="17"/>
    </row>
    <row r="214" spans="1:26" ht="73.5" customHeight="1" x14ac:dyDescent="0.25">
      <c r="A214" s="11">
        <v>200</v>
      </c>
      <c r="B214" s="12" t="s">
        <v>45</v>
      </c>
      <c r="C214" s="33" t="s">
        <v>369</v>
      </c>
      <c r="D214" s="33" t="s">
        <v>369</v>
      </c>
      <c r="E214" s="11" t="s">
        <v>20</v>
      </c>
      <c r="F214" s="14" t="s">
        <v>42</v>
      </c>
      <c r="G214" s="11" t="s">
        <v>482</v>
      </c>
      <c r="H214" s="11" t="s">
        <v>497</v>
      </c>
      <c r="I214" s="24" t="s">
        <v>17</v>
      </c>
      <c r="J214" s="13" t="s">
        <v>363</v>
      </c>
      <c r="K214" s="13">
        <v>20</v>
      </c>
      <c r="L214" s="32">
        <v>2500</v>
      </c>
      <c r="M214" s="15">
        <f t="shared" si="63"/>
        <v>50000</v>
      </c>
      <c r="N214" s="15">
        <f t="shared" si="64"/>
        <v>56000.000000000007</v>
      </c>
      <c r="O214" s="28" t="s">
        <v>32</v>
      </c>
      <c r="P214" s="17"/>
      <c r="Q214" s="17"/>
      <c r="R214" s="17"/>
      <c r="S214" s="17"/>
      <c r="T214" s="17"/>
      <c r="U214" s="17"/>
      <c r="V214" s="17"/>
      <c r="W214" s="17"/>
      <c r="X214" s="17"/>
      <c r="Y214" s="17"/>
      <c r="Z214" s="17"/>
    </row>
    <row r="215" spans="1:26" ht="99" customHeight="1" x14ac:dyDescent="0.25">
      <c r="A215" s="11">
        <v>201</v>
      </c>
      <c r="B215" s="12" t="s">
        <v>45</v>
      </c>
      <c r="C215" s="33" t="s">
        <v>370</v>
      </c>
      <c r="D215" s="33" t="s">
        <v>370</v>
      </c>
      <c r="E215" s="11" t="s">
        <v>20</v>
      </c>
      <c r="F215" s="14" t="s">
        <v>42</v>
      </c>
      <c r="G215" s="11" t="s">
        <v>482</v>
      </c>
      <c r="H215" s="11" t="s">
        <v>497</v>
      </c>
      <c r="I215" s="24" t="s">
        <v>17</v>
      </c>
      <c r="J215" s="13" t="s">
        <v>363</v>
      </c>
      <c r="K215" s="13">
        <v>20</v>
      </c>
      <c r="L215" s="32">
        <v>100</v>
      </c>
      <c r="M215" s="15">
        <f t="shared" si="63"/>
        <v>2000</v>
      </c>
      <c r="N215" s="15">
        <f t="shared" si="64"/>
        <v>2240</v>
      </c>
      <c r="O215" s="28" t="s">
        <v>32</v>
      </c>
      <c r="P215" s="17"/>
      <c r="Q215" s="17"/>
      <c r="R215" s="17"/>
      <c r="S215" s="17"/>
      <c r="T215" s="17"/>
      <c r="U215" s="17"/>
      <c r="V215" s="17"/>
      <c r="W215" s="17"/>
      <c r="X215" s="17"/>
      <c r="Y215" s="17"/>
      <c r="Z215" s="17"/>
    </row>
    <row r="216" spans="1:26" ht="93.75" customHeight="1" x14ac:dyDescent="0.25">
      <c r="A216" s="11">
        <v>202</v>
      </c>
      <c r="B216" s="12" t="s">
        <v>45</v>
      </c>
      <c r="C216" s="33" t="s">
        <v>373</v>
      </c>
      <c r="D216" s="33" t="s">
        <v>373</v>
      </c>
      <c r="E216" s="11" t="s">
        <v>20</v>
      </c>
      <c r="F216" s="14" t="s">
        <v>42</v>
      </c>
      <c r="G216" s="11" t="s">
        <v>482</v>
      </c>
      <c r="H216" s="11" t="s">
        <v>497</v>
      </c>
      <c r="I216" s="24" t="s">
        <v>17</v>
      </c>
      <c r="J216" s="13" t="s">
        <v>372</v>
      </c>
      <c r="K216" s="13">
        <v>4</v>
      </c>
      <c r="L216" s="32">
        <v>250</v>
      </c>
      <c r="M216" s="15">
        <f t="shared" si="63"/>
        <v>1000</v>
      </c>
      <c r="N216" s="15">
        <f t="shared" si="64"/>
        <v>1120</v>
      </c>
      <c r="O216" s="28" t="s">
        <v>32</v>
      </c>
      <c r="P216" s="17"/>
      <c r="Q216" s="17"/>
      <c r="R216" s="17"/>
      <c r="S216" s="17"/>
      <c r="T216" s="17"/>
      <c r="U216" s="17"/>
      <c r="V216" s="17"/>
      <c r="W216" s="17"/>
      <c r="X216" s="17"/>
      <c r="Y216" s="17"/>
      <c r="Z216" s="17"/>
    </row>
    <row r="217" spans="1:26" ht="73.5" customHeight="1" x14ac:dyDescent="0.25">
      <c r="A217" s="11">
        <v>203</v>
      </c>
      <c r="B217" s="12" t="s">
        <v>45</v>
      </c>
      <c r="C217" s="33" t="s">
        <v>366</v>
      </c>
      <c r="D217" s="33" t="s">
        <v>371</v>
      </c>
      <c r="E217" s="11" t="s">
        <v>20</v>
      </c>
      <c r="F217" s="14" t="s">
        <v>42</v>
      </c>
      <c r="G217" s="11" t="s">
        <v>482</v>
      </c>
      <c r="H217" s="11" t="s">
        <v>142</v>
      </c>
      <c r="I217" s="24" t="s">
        <v>17</v>
      </c>
      <c r="J217" s="13" t="s">
        <v>107</v>
      </c>
      <c r="K217" s="13">
        <v>1</v>
      </c>
      <c r="L217" s="32">
        <v>17000</v>
      </c>
      <c r="M217" s="15">
        <f t="shared" si="63"/>
        <v>17000</v>
      </c>
      <c r="N217" s="15">
        <f t="shared" si="64"/>
        <v>19040</v>
      </c>
      <c r="O217" s="28" t="s">
        <v>32</v>
      </c>
      <c r="P217" s="17"/>
      <c r="Q217" s="17"/>
      <c r="R217" s="17"/>
      <c r="S217" s="17"/>
      <c r="T217" s="17"/>
      <c r="U217" s="17"/>
      <c r="V217" s="17"/>
      <c r="W217" s="17"/>
      <c r="X217" s="17"/>
      <c r="Y217" s="17"/>
      <c r="Z217" s="17"/>
    </row>
    <row r="218" spans="1:26" ht="73.5" customHeight="1" x14ac:dyDescent="0.25">
      <c r="A218" s="11">
        <v>204</v>
      </c>
      <c r="B218" s="12" t="s">
        <v>45</v>
      </c>
      <c r="C218" s="33" t="s">
        <v>367</v>
      </c>
      <c r="D218" s="33" t="s">
        <v>367</v>
      </c>
      <c r="E218" s="11" t="s">
        <v>20</v>
      </c>
      <c r="F218" s="14" t="s">
        <v>42</v>
      </c>
      <c r="G218" s="11" t="s">
        <v>482</v>
      </c>
      <c r="H218" s="11" t="s">
        <v>142</v>
      </c>
      <c r="I218" s="24" t="s">
        <v>17</v>
      </c>
      <c r="J218" s="13" t="s">
        <v>107</v>
      </c>
      <c r="K218" s="13">
        <v>1</v>
      </c>
      <c r="L218" s="32">
        <v>9000</v>
      </c>
      <c r="M218" s="15">
        <f t="shared" si="63"/>
        <v>9000</v>
      </c>
      <c r="N218" s="15">
        <f t="shared" si="64"/>
        <v>10080.000000000002</v>
      </c>
      <c r="O218" s="28" t="s">
        <v>32</v>
      </c>
      <c r="P218" s="17"/>
      <c r="Q218" s="17"/>
      <c r="R218" s="17"/>
      <c r="S218" s="17"/>
      <c r="T218" s="17"/>
      <c r="U218" s="17"/>
      <c r="V218" s="17"/>
      <c r="W218" s="17"/>
      <c r="X218" s="17"/>
      <c r="Y218" s="17"/>
      <c r="Z218" s="17"/>
    </row>
    <row r="219" spans="1:26" ht="73.5" customHeight="1" x14ac:dyDescent="0.25">
      <c r="A219" s="11">
        <v>205</v>
      </c>
      <c r="B219" s="12" t="s">
        <v>45</v>
      </c>
      <c r="C219" s="33" t="s">
        <v>368</v>
      </c>
      <c r="D219" s="33" t="s">
        <v>368</v>
      </c>
      <c r="E219" s="11" t="s">
        <v>20</v>
      </c>
      <c r="F219" s="14" t="s">
        <v>42</v>
      </c>
      <c r="G219" s="11" t="s">
        <v>482</v>
      </c>
      <c r="H219" s="11" t="s">
        <v>142</v>
      </c>
      <c r="I219" s="24" t="s">
        <v>17</v>
      </c>
      <c r="J219" s="13" t="s">
        <v>107</v>
      </c>
      <c r="K219" s="13">
        <v>5</v>
      </c>
      <c r="L219" s="32">
        <v>23600</v>
      </c>
      <c r="M219" s="15">
        <f t="shared" si="63"/>
        <v>118000</v>
      </c>
      <c r="N219" s="15">
        <f t="shared" si="64"/>
        <v>132160</v>
      </c>
      <c r="O219" s="28" t="s">
        <v>32</v>
      </c>
      <c r="P219" s="17"/>
      <c r="Q219" s="17"/>
      <c r="R219" s="17"/>
      <c r="S219" s="17"/>
      <c r="T219" s="17"/>
      <c r="U219" s="17"/>
      <c r="V219" s="17"/>
      <c r="W219" s="17"/>
      <c r="X219" s="17"/>
      <c r="Y219" s="17"/>
      <c r="Z219" s="17"/>
    </row>
    <row r="220" spans="1:26" ht="73.5" customHeight="1" x14ac:dyDescent="0.25">
      <c r="A220" s="11">
        <v>206</v>
      </c>
      <c r="B220" s="12" t="s">
        <v>45</v>
      </c>
      <c r="C220" s="33" t="s">
        <v>369</v>
      </c>
      <c r="D220" s="33" t="s">
        <v>369</v>
      </c>
      <c r="E220" s="11" t="s">
        <v>20</v>
      </c>
      <c r="F220" s="14" t="s">
        <v>42</v>
      </c>
      <c r="G220" s="11" t="s">
        <v>482</v>
      </c>
      <c r="H220" s="11" t="s">
        <v>142</v>
      </c>
      <c r="I220" s="24" t="s">
        <v>17</v>
      </c>
      <c r="J220" s="13" t="s">
        <v>374</v>
      </c>
      <c r="K220" s="13">
        <v>20</v>
      </c>
      <c r="L220" s="32">
        <v>2650</v>
      </c>
      <c r="M220" s="15">
        <f t="shared" si="63"/>
        <v>53000</v>
      </c>
      <c r="N220" s="15">
        <f t="shared" si="64"/>
        <v>59360.000000000007</v>
      </c>
      <c r="O220" s="28" t="s">
        <v>32</v>
      </c>
      <c r="P220" s="17"/>
      <c r="Q220" s="17"/>
      <c r="R220" s="17"/>
      <c r="S220" s="17"/>
      <c r="T220" s="17"/>
      <c r="U220" s="17"/>
      <c r="V220" s="17"/>
      <c r="W220" s="17"/>
      <c r="X220" s="17"/>
      <c r="Y220" s="17"/>
      <c r="Z220" s="17"/>
    </row>
    <row r="221" spans="1:26" ht="73.5" customHeight="1" x14ac:dyDescent="0.25">
      <c r="A221" s="11">
        <v>207</v>
      </c>
      <c r="B221" s="12" t="s">
        <v>45</v>
      </c>
      <c r="C221" s="33" t="s">
        <v>370</v>
      </c>
      <c r="D221" s="33" t="s">
        <v>370</v>
      </c>
      <c r="E221" s="11" t="s">
        <v>20</v>
      </c>
      <c r="F221" s="14" t="s">
        <v>42</v>
      </c>
      <c r="G221" s="11" t="s">
        <v>482</v>
      </c>
      <c r="H221" s="11" t="s">
        <v>142</v>
      </c>
      <c r="I221" s="24" t="s">
        <v>17</v>
      </c>
      <c r="J221" s="13" t="s">
        <v>107</v>
      </c>
      <c r="K221" s="13">
        <v>20</v>
      </c>
      <c r="L221" s="32">
        <v>100</v>
      </c>
      <c r="M221" s="15">
        <f t="shared" si="63"/>
        <v>2000</v>
      </c>
      <c r="N221" s="15">
        <f t="shared" si="64"/>
        <v>2240</v>
      </c>
      <c r="O221" s="28" t="s">
        <v>32</v>
      </c>
      <c r="P221" s="17"/>
      <c r="Q221" s="17"/>
      <c r="R221" s="17"/>
      <c r="S221" s="17"/>
      <c r="T221" s="17"/>
      <c r="U221" s="17"/>
      <c r="V221" s="17"/>
      <c r="W221" s="17"/>
      <c r="X221" s="17"/>
      <c r="Y221" s="17"/>
      <c r="Z221" s="17"/>
    </row>
    <row r="222" spans="1:26" ht="96" customHeight="1" x14ac:dyDescent="0.25">
      <c r="A222" s="11">
        <v>208</v>
      </c>
      <c r="B222" s="12" t="s">
        <v>45</v>
      </c>
      <c r="C222" s="33" t="s">
        <v>390</v>
      </c>
      <c r="D222" s="33" t="s">
        <v>390</v>
      </c>
      <c r="E222" s="11" t="s">
        <v>20</v>
      </c>
      <c r="F222" s="14" t="s">
        <v>42</v>
      </c>
      <c r="G222" s="11" t="s">
        <v>482</v>
      </c>
      <c r="H222" s="11" t="s">
        <v>500</v>
      </c>
      <c r="I222" s="24" t="s">
        <v>17</v>
      </c>
      <c r="J222" s="13" t="s">
        <v>21</v>
      </c>
      <c r="K222" s="13">
        <v>300</v>
      </c>
      <c r="L222" s="48">
        <v>160</v>
      </c>
      <c r="M222" s="32">
        <v>48000</v>
      </c>
      <c r="N222" s="15">
        <f>M222*1.12</f>
        <v>53760.000000000007</v>
      </c>
      <c r="O222" s="13" t="s">
        <v>32</v>
      </c>
      <c r="P222" s="17"/>
      <c r="Q222" s="17"/>
      <c r="R222" s="17"/>
      <c r="S222" s="17"/>
      <c r="T222" s="17"/>
      <c r="U222" s="17"/>
      <c r="V222" s="17"/>
      <c r="W222" s="17"/>
      <c r="X222" s="17"/>
      <c r="Y222" s="17"/>
      <c r="Z222" s="17"/>
    </row>
    <row r="223" spans="1:26" ht="85.5" customHeight="1" x14ac:dyDescent="0.25">
      <c r="A223" s="11">
        <v>209</v>
      </c>
      <c r="B223" s="12" t="s">
        <v>45</v>
      </c>
      <c r="C223" s="33" t="s">
        <v>391</v>
      </c>
      <c r="D223" s="33" t="s">
        <v>392</v>
      </c>
      <c r="E223" s="11" t="s">
        <v>20</v>
      </c>
      <c r="F223" s="14" t="s">
        <v>42</v>
      </c>
      <c r="G223" s="11" t="s">
        <v>482</v>
      </c>
      <c r="H223" s="11" t="s">
        <v>500</v>
      </c>
      <c r="I223" s="24" t="s">
        <v>17</v>
      </c>
      <c r="J223" s="13" t="s">
        <v>107</v>
      </c>
      <c r="K223" s="13">
        <v>2</v>
      </c>
      <c r="L223" s="48">
        <v>30000</v>
      </c>
      <c r="M223" s="32">
        <f>L223*K223</f>
        <v>60000</v>
      </c>
      <c r="N223" s="15">
        <f>M223*1.12</f>
        <v>67200</v>
      </c>
      <c r="O223" s="13" t="s">
        <v>32</v>
      </c>
      <c r="P223" s="17"/>
      <c r="Q223" s="17"/>
      <c r="R223" s="17"/>
      <c r="S223" s="17"/>
      <c r="T223" s="17"/>
      <c r="U223" s="17"/>
      <c r="V223" s="17"/>
      <c r="W223" s="17"/>
      <c r="X223" s="17"/>
      <c r="Y223" s="17"/>
      <c r="Z223" s="17"/>
    </row>
    <row r="224" spans="1:26" ht="73.5" customHeight="1" x14ac:dyDescent="0.25">
      <c r="A224" s="11">
        <v>210</v>
      </c>
      <c r="B224" s="12" t="s">
        <v>45</v>
      </c>
      <c r="C224" s="33" t="s">
        <v>393</v>
      </c>
      <c r="D224" s="33" t="s">
        <v>394</v>
      </c>
      <c r="E224" s="11" t="s">
        <v>20</v>
      </c>
      <c r="F224" s="14" t="s">
        <v>42</v>
      </c>
      <c r="G224" s="11" t="s">
        <v>482</v>
      </c>
      <c r="H224" s="11" t="s">
        <v>500</v>
      </c>
      <c r="I224" s="24" t="s">
        <v>17</v>
      </c>
      <c r="J224" s="13" t="s">
        <v>107</v>
      </c>
      <c r="K224" s="13">
        <v>4</v>
      </c>
      <c r="L224" s="48">
        <v>40000</v>
      </c>
      <c r="M224" s="32">
        <f t="shared" ref="M224:M227" si="65">L224*K224</f>
        <v>160000</v>
      </c>
      <c r="N224" s="15">
        <f t="shared" ref="N224:N227" si="66">M224*1.12</f>
        <v>179200.00000000003</v>
      </c>
      <c r="O224" s="13" t="s">
        <v>32</v>
      </c>
      <c r="P224" s="17"/>
      <c r="Q224" s="17"/>
      <c r="R224" s="17"/>
      <c r="S224" s="17"/>
      <c r="T224" s="17"/>
      <c r="U224" s="17"/>
      <c r="V224" s="17"/>
      <c r="W224" s="17"/>
      <c r="X224" s="17"/>
      <c r="Y224" s="17"/>
      <c r="Z224" s="17"/>
    </row>
    <row r="225" spans="1:26" ht="88.5" customHeight="1" x14ac:dyDescent="0.25">
      <c r="A225" s="11">
        <v>211</v>
      </c>
      <c r="B225" s="12" t="s">
        <v>45</v>
      </c>
      <c r="C225" s="33" t="s">
        <v>395</v>
      </c>
      <c r="D225" s="33" t="s">
        <v>396</v>
      </c>
      <c r="E225" s="11" t="s">
        <v>20</v>
      </c>
      <c r="F225" s="14" t="s">
        <v>42</v>
      </c>
      <c r="G225" s="11" t="s">
        <v>482</v>
      </c>
      <c r="H225" s="11" t="s">
        <v>500</v>
      </c>
      <c r="I225" s="24" t="s">
        <v>17</v>
      </c>
      <c r="J225" s="13" t="s">
        <v>107</v>
      </c>
      <c r="K225" s="13">
        <v>2</v>
      </c>
      <c r="L225" s="48">
        <v>7500</v>
      </c>
      <c r="M225" s="32">
        <f t="shared" si="65"/>
        <v>15000</v>
      </c>
      <c r="N225" s="15">
        <f t="shared" si="66"/>
        <v>16800</v>
      </c>
      <c r="O225" s="13" t="s">
        <v>32</v>
      </c>
      <c r="P225" s="17"/>
      <c r="Q225" s="17"/>
      <c r="R225" s="17"/>
      <c r="S225" s="17"/>
      <c r="T225" s="17"/>
      <c r="U225" s="17"/>
      <c r="V225" s="17"/>
      <c r="W225" s="17"/>
      <c r="X225" s="17"/>
      <c r="Y225" s="17"/>
      <c r="Z225" s="17"/>
    </row>
    <row r="226" spans="1:26" ht="86.25" customHeight="1" x14ac:dyDescent="0.25">
      <c r="A226" s="11">
        <v>212</v>
      </c>
      <c r="B226" s="12" t="s">
        <v>45</v>
      </c>
      <c r="C226" s="33" t="s">
        <v>397</v>
      </c>
      <c r="D226" s="33" t="s">
        <v>398</v>
      </c>
      <c r="E226" s="11" t="s">
        <v>20</v>
      </c>
      <c r="F226" s="14" t="s">
        <v>42</v>
      </c>
      <c r="G226" s="11" t="s">
        <v>482</v>
      </c>
      <c r="H226" s="11" t="s">
        <v>500</v>
      </c>
      <c r="I226" s="24" t="s">
        <v>17</v>
      </c>
      <c r="J226" s="13" t="s">
        <v>107</v>
      </c>
      <c r="K226" s="13">
        <v>100</v>
      </c>
      <c r="L226" s="48">
        <v>360</v>
      </c>
      <c r="M226" s="32">
        <f t="shared" si="65"/>
        <v>36000</v>
      </c>
      <c r="N226" s="15">
        <f t="shared" si="66"/>
        <v>40320.000000000007</v>
      </c>
      <c r="O226" s="13" t="s">
        <v>32</v>
      </c>
      <c r="P226" s="17"/>
      <c r="Q226" s="17"/>
      <c r="R226" s="17"/>
      <c r="S226" s="17"/>
      <c r="T226" s="17"/>
      <c r="U226" s="17"/>
      <c r="V226" s="17"/>
      <c r="W226" s="17"/>
      <c r="X226" s="17"/>
      <c r="Y226" s="17"/>
      <c r="Z226" s="17"/>
    </row>
    <row r="227" spans="1:26" ht="73.5" customHeight="1" x14ac:dyDescent="0.25">
      <c r="A227" s="11">
        <v>213</v>
      </c>
      <c r="B227" s="12" t="s">
        <v>45</v>
      </c>
      <c r="C227" s="33" t="s">
        <v>399</v>
      </c>
      <c r="D227" s="33" t="s">
        <v>400</v>
      </c>
      <c r="E227" s="11" t="s">
        <v>20</v>
      </c>
      <c r="F227" s="14" t="s">
        <v>42</v>
      </c>
      <c r="G227" s="11" t="s">
        <v>482</v>
      </c>
      <c r="H227" s="11" t="s">
        <v>500</v>
      </c>
      <c r="I227" s="24" t="s">
        <v>17</v>
      </c>
      <c r="J227" s="13" t="s">
        <v>107</v>
      </c>
      <c r="K227" s="13">
        <v>1</v>
      </c>
      <c r="L227" s="48">
        <v>75000</v>
      </c>
      <c r="M227" s="32">
        <f t="shared" si="65"/>
        <v>75000</v>
      </c>
      <c r="N227" s="15">
        <f t="shared" si="66"/>
        <v>84000.000000000015</v>
      </c>
      <c r="O227" s="13" t="s">
        <v>32</v>
      </c>
      <c r="P227" s="17"/>
      <c r="Q227" s="17"/>
      <c r="R227" s="17"/>
      <c r="S227" s="17"/>
      <c r="T227" s="17"/>
      <c r="U227" s="17"/>
      <c r="V227" s="17"/>
      <c r="W227" s="17"/>
      <c r="X227" s="17"/>
      <c r="Y227" s="17"/>
      <c r="Z227" s="17"/>
    </row>
    <row r="228" spans="1:26" ht="99" customHeight="1" x14ac:dyDescent="0.25">
      <c r="A228" s="11">
        <v>214</v>
      </c>
      <c r="B228" s="12" t="s">
        <v>45</v>
      </c>
      <c r="C228" s="13" t="s">
        <v>480</v>
      </c>
      <c r="D228" s="13" t="s">
        <v>459</v>
      </c>
      <c r="E228" s="11" t="s">
        <v>20</v>
      </c>
      <c r="F228" s="14" t="s">
        <v>42</v>
      </c>
      <c r="G228" s="11" t="s">
        <v>482</v>
      </c>
      <c r="H228" s="11" t="s">
        <v>326</v>
      </c>
      <c r="I228" s="13" t="s">
        <v>239</v>
      </c>
      <c r="J228" s="13" t="s">
        <v>107</v>
      </c>
      <c r="K228" s="13">
        <v>1</v>
      </c>
      <c r="L228" s="18">
        <v>5893000</v>
      </c>
      <c r="M228" s="18">
        <f t="shared" si="61"/>
        <v>5893000</v>
      </c>
      <c r="N228" s="18">
        <f t="shared" si="60"/>
        <v>6600160.0000000009</v>
      </c>
      <c r="O228" s="13" t="s">
        <v>32</v>
      </c>
      <c r="P228" s="17"/>
      <c r="Q228" s="17"/>
      <c r="R228" s="17"/>
      <c r="S228" s="17"/>
      <c r="T228" s="17"/>
      <c r="U228" s="17"/>
      <c r="V228" s="17"/>
      <c r="W228" s="17"/>
      <c r="X228" s="17"/>
      <c r="Y228" s="17"/>
      <c r="Z228" s="17"/>
    </row>
    <row r="229" spans="1:26" ht="166.5" customHeight="1" x14ac:dyDescent="0.25">
      <c r="A229" s="11">
        <v>215</v>
      </c>
      <c r="B229" s="12" t="s">
        <v>45</v>
      </c>
      <c r="C229" s="13" t="s">
        <v>481</v>
      </c>
      <c r="D229" s="13" t="s">
        <v>460</v>
      </c>
      <c r="E229" s="13" t="s">
        <v>24</v>
      </c>
      <c r="F229" s="14" t="s">
        <v>42</v>
      </c>
      <c r="G229" s="11" t="s">
        <v>482</v>
      </c>
      <c r="H229" s="11" t="s">
        <v>509</v>
      </c>
      <c r="I229" s="13" t="s">
        <v>239</v>
      </c>
      <c r="J229" s="13" t="s">
        <v>107</v>
      </c>
      <c r="K229" s="13">
        <v>2</v>
      </c>
      <c r="L229" s="18">
        <f>10714000/2</f>
        <v>5357000</v>
      </c>
      <c r="M229" s="18">
        <f t="shared" si="61"/>
        <v>10714000</v>
      </c>
      <c r="N229" s="18">
        <f t="shared" si="60"/>
        <v>11999680.000000002</v>
      </c>
      <c r="O229" s="13" t="s">
        <v>32</v>
      </c>
      <c r="P229" s="17"/>
      <c r="Q229" s="17"/>
      <c r="R229" s="17"/>
      <c r="S229" s="17"/>
      <c r="T229" s="17"/>
      <c r="U229" s="17"/>
      <c r="V229" s="17"/>
      <c r="W229" s="17"/>
      <c r="X229" s="17"/>
      <c r="Y229" s="17"/>
      <c r="Z229" s="17"/>
    </row>
    <row r="230" spans="1:26" ht="201.75" customHeight="1" x14ac:dyDescent="0.25">
      <c r="A230" s="11">
        <v>216</v>
      </c>
      <c r="B230" s="12" t="s">
        <v>45</v>
      </c>
      <c r="C230" s="33" t="s">
        <v>473</v>
      </c>
      <c r="D230" s="33" t="s">
        <v>100</v>
      </c>
      <c r="E230" s="13" t="s">
        <v>24</v>
      </c>
      <c r="F230" s="14" t="s">
        <v>42</v>
      </c>
      <c r="G230" s="11" t="s">
        <v>482</v>
      </c>
      <c r="H230" s="13" t="s">
        <v>328</v>
      </c>
      <c r="I230" s="24" t="s">
        <v>240</v>
      </c>
      <c r="J230" s="13" t="s">
        <v>107</v>
      </c>
      <c r="K230" s="13">
        <v>1</v>
      </c>
      <c r="L230" s="18">
        <f>108200*1000</f>
        <v>108200000</v>
      </c>
      <c r="M230" s="18">
        <f>L230*K230</f>
        <v>108200000</v>
      </c>
      <c r="N230" s="18">
        <f>M230*1.12</f>
        <v>121184000.00000001</v>
      </c>
      <c r="O230" s="13" t="s">
        <v>32</v>
      </c>
      <c r="P230" s="17"/>
      <c r="Q230" s="17"/>
      <c r="R230" s="17"/>
      <c r="S230" s="17"/>
      <c r="T230" s="17"/>
      <c r="U230" s="17"/>
      <c r="V230" s="17"/>
      <c r="W230" s="17"/>
      <c r="X230" s="17"/>
      <c r="Y230" s="17"/>
      <c r="Z230" s="17"/>
    </row>
    <row r="231" spans="1:26" ht="229.5" customHeight="1" x14ac:dyDescent="0.25">
      <c r="A231" s="11">
        <v>217</v>
      </c>
      <c r="B231" s="12" t="s">
        <v>45</v>
      </c>
      <c r="C231" s="33" t="s">
        <v>473</v>
      </c>
      <c r="D231" s="33" t="s">
        <v>100</v>
      </c>
      <c r="E231" s="13" t="s">
        <v>24</v>
      </c>
      <c r="F231" s="14" t="s">
        <v>42</v>
      </c>
      <c r="G231" s="11" t="s">
        <v>482</v>
      </c>
      <c r="H231" s="11" t="s">
        <v>494</v>
      </c>
      <c r="I231" s="24" t="s">
        <v>240</v>
      </c>
      <c r="J231" s="13" t="s">
        <v>107</v>
      </c>
      <c r="K231" s="13">
        <v>1</v>
      </c>
      <c r="L231" s="18">
        <f>108200*1000</f>
        <v>108200000</v>
      </c>
      <c r="M231" s="18">
        <f t="shared" ref="M231:M235" si="67">L231*K231</f>
        <v>108200000</v>
      </c>
      <c r="N231" s="18">
        <f t="shared" ref="N231:N235" si="68">M231*1.12</f>
        <v>121184000.00000001</v>
      </c>
      <c r="O231" s="13" t="s">
        <v>32</v>
      </c>
      <c r="P231" s="17"/>
      <c r="Q231" s="17"/>
      <c r="R231" s="17"/>
      <c r="S231" s="17"/>
      <c r="T231" s="17"/>
      <c r="U231" s="17"/>
      <c r="V231" s="17"/>
      <c r="W231" s="17"/>
      <c r="X231" s="17"/>
      <c r="Y231" s="17"/>
      <c r="Z231" s="17"/>
    </row>
    <row r="232" spans="1:26" ht="213" customHeight="1" x14ac:dyDescent="0.25">
      <c r="A232" s="11">
        <v>218</v>
      </c>
      <c r="B232" s="12" t="s">
        <v>45</v>
      </c>
      <c r="C232" s="33" t="s">
        <v>474</v>
      </c>
      <c r="D232" s="33" t="s">
        <v>101</v>
      </c>
      <c r="E232" s="13" t="s">
        <v>24</v>
      </c>
      <c r="F232" s="14" t="s">
        <v>42</v>
      </c>
      <c r="G232" s="11" t="s">
        <v>482</v>
      </c>
      <c r="H232" s="11" t="s">
        <v>348</v>
      </c>
      <c r="I232" s="24" t="s">
        <v>240</v>
      </c>
      <c r="J232" s="13" t="s">
        <v>107</v>
      </c>
      <c r="K232" s="13">
        <v>2</v>
      </c>
      <c r="L232" s="18">
        <f>130000*1000</f>
        <v>130000000</v>
      </c>
      <c r="M232" s="18">
        <f t="shared" si="67"/>
        <v>260000000</v>
      </c>
      <c r="N232" s="18">
        <f t="shared" si="68"/>
        <v>291200000</v>
      </c>
      <c r="O232" s="13" t="s">
        <v>32</v>
      </c>
      <c r="P232" s="17"/>
      <c r="Q232" s="17"/>
      <c r="R232" s="17"/>
      <c r="S232" s="17"/>
      <c r="T232" s="17"/>
      <c r="U232" s="17"/>
      <c r="V232" s="17"/>
      <c r="W232" s="17"/>
      <c r="X232" s="17"/>
      <c r="Y232" s="17"/>
      <c r="Z232" s="17"/>
    </row>
    <row r="233" spans="1:26" ht="264" customHeight="1" x14ac:dyDescent="0.25">
      <c r="A233" s="11">
        <v>219</v>
      </c>
      <c r="B233" s="12" t="s">
        <v>45</v>
      </c>
      <c r="C233" s="33" t="s">
        <v>478</v>
      </c>
      <c r="D233" s="33" t="s">
        <v>102</v>
      </c>
      <c r="E233" s="13" t="s">
        <v>24</v>
      </c>
      <c r="F233" s="14" t="s">
        <v>42</v>
      </c>
      <c r="G233" s="11" t="s">
        <v>482</v>
      </c>
      <c r="H233" s="11" t="s">
        <v>325</v>
      </c>
      <c r="I233" s="24" t="s">
        <v>240</v>
      </c>
      <c r="J233" s="13" t="s">
        <v>107</v>
      </c>
      <c r="K233" s="13">
        <v>7</v>
      </c>
      <c r="L233" s="18">
        <f>6000*1000</f>
        <v>6000000</v>
      </c>
      <c r="M233" s="18">
        <f t="shared" si="67"/>
        <v>42000000</v>
      </c>
      <c r="N233" s="18">
        <f t="shared" si="68"/>
        <v>47040000.000000007</v>
      </c>
      <c r="O233" s="13" t="s">
        <v>32</v>
      </c>
      <c r="P233" s="17"/>
      <c r="Q233" s="17"/>
      <c r="R233" s="17"/>
      <c r="S233" s="17"/>
      <c r="T233" s="17"/>
      <c r="U233" s="17"/>
      <c r="V233" s="17"/>
      <c r="W233" s="17"/>
      <c r="X233" s="17"/>
      <c r="Y233" s="17"/>
      <c r="Z233" s="17"/>
    </row>
    <row r="234" spans="1:26" ht="138.75" customHeight="1" x14ac:dyDescent="0.25">
      <c r="A234" s="11">
        <v>220</v>
      </c>
      <c r="B234" s="12" t="s">
        <v>45</v>
      </c>
      <c r="C234" s="33" t="s">
        <v>103</v>
      </c>
      <c r="D234" s="33" t="s">
        <v>104</v>
      </c>
      <c r="E234" s="11" t="s">
        <v>20</v>
      </c>
      <c r="F234" s="14" t="s">
        <v>42</v>
      </c>
      <c r="G234" s="11" t="s">
        <v>482</v>
      </c>
      <c r="H234" s="11" t="s">
        <v>325</v>
      </c>
      <c r="I234" s="24" t="s">
        <v>240</v>
      </c>
      <c r="J234" s="13" t="s">
        <v>107</v>
      </c>
      <c r="K234" s="13">
        <v>1</v>
      </c>
      <c r="L234" s="18">
        <f>6000*1000</f>
        <v>6000000</v>
      </c>
      <c r="M234" s="18">
        <f t="shared" si="67"/>
        <v>6000000</v>
      </c>
      <c r="N234" s="18">
        <f t="shared" si="68"/>
        <v>6720000.0000000009</v>
      </c>
      <c r="O234" s="13" t="s">
        <v>32</v>
      </c>
      <c r="P234" s="17"/>
      <c r="Q234" s="17"/>
      <c r="R234" s="17"/>
      <c r="S234" s="17"/>
      <c r="T234" s="17"/>
      <c r="U234" s="17"/>
      <c r="V234" s="17"/>
      <c r="W234" s="17"/>
      <c r="X234" s="17"/>
      <c r="Y234" s="17"/>
      <c r="Z234" s="17"/>
    </row>
    <row r="235" spans="1:26" ht="138.75" customHeight="1" x14ac:dyDescent="0.25">
      <c r="A235" s="11">
        <v>221</v>
      </c>
      <c r="B235" s="12" t="s">
        <v>45</v>
      </c>
      <c r="C235" s="13" t="s">
        <v>375</v>
      </c>
      <c r="D235" s="13" t="s">
        <v>376</v>
      </c>
      <c r="E235" s="13" t="s">
        <v>24</v>
      </c>
      <c r="F235" s="14" t="s">
        <v>42</v>
      </c>
      <c r="G235" s="11" t="s">
        <v>482</v>
      </c>
      <c r="H235" s="11" t="s">
        <v>500</v>
      </c>
      <c r="I235" s="13" t="s">
        <v>407</v>
      </c>
      <c r="J235" s="13" t="s">
        <v>107</v>
      </c>
      <c r="K235" s="13">
        <v>1</v>
      </c>
      <c r="L235" s="18">
        <v>536000</v>
      </c>
      <c r="M235" s="18">
        <f t="shared" si="67"/>
        <v>536000</v>
      </c>
      <c r="N235" s="18">
        <f t="shared" si="68"/>
        <v>600320</v>
      </c>
      <c r="O235" s="13" t="s">
        <v>32</v>
      </c>
      <c r="P235" s="17"/>
      <c r="Q235" s="17"/>
      <c r="R235" s="17"/>
      <c r="S235" s="17"/>
      <c r="T235" s="17"/>
      <c r="U235" s="17"/>
      <c r="V235" s="17"/>
      <c r="W235" s="17"/>
      <c r="X235" s="17"/>
      <c r="Y235" s="17"/>
      <c r="Z235" s="17"/>
    </row>
    <row r="236" spans="1:26" ht="138.75" customHeight="1" x14ac:dyDescent="0.25">
      <c r="A236" s="11">
        <v>222</v>
      </c>
      <c r="B236" s="12" t="s">
        <v>45</v>
      </c>
      <c r="C236" s="13" t="s">
        <v>449</v>
      </c>
      <c r="D236" s="13" t="s">
        <v>449</v>
      </c>
      <c r="E236" s="13" t="s">
        <v>20</v>
      </c>
      <c r="F236" s="14" t="s">
        <v>42</v>
      </c>
      <c r="G236" s="11" t="s">
        <v>482</v>
      </c>
      <c r="H236" s="20" t="s">
        <v>495</v>
      </c>
      <c r="I236" s="13" t="s">
        <v>407</v>
      </c>
      <c r="J236" s="13" t="s">
        <v>107</v>
      </c>
      <c r="K236" s="13"/>
      <c r="L236" s="18"/>
      <c r="M236" s="18">
        <v>108000</v>
      </c>
      <c r="N236" s="18">
        <f t="shared" ref="N236" si="69">M236*1.12</f>
        <v>120960.00000000001</v>
      </c>
      <c r="O236" s="13" t="s">
        <v>32</v>
      </c>
      <c r="P236" s="17"/>
      <c r="Q236" s="17"/>
      <c r="R236" s="17"/>
      <c r="S236" s="17"/>
      <c r="T236" s="17"/>
      <c r="U236" s="17"/>
      <c r="V236" s="17"/>
      <c r="W236" s="17"/>
      <c r="X236" s="17"/>
      <c r="Y236" s="17"/>
      <c r="Z236" s="17"/>
    </row>
    <row r="237" spans="1:26" ht="138.75" customHeight="1" x14ac:dyDescent="0.25">
      <c r="A237" s="11">
        <v>223</v>
      </c>
      <c r="B237" s="12" t="s">
        <v>45</v>
      </c>
      <c r="C237" s="14" t="s">
        <v>469</v>
      </c>
      <c r="D237" s="14" t="s">
        <v>470</v>
      </c>
      <c r="E237" s="13" t="s">
        <v>20</v>
      </c>
      <c r="F237" s="14" t="s">
        <v>42</v>
      </c>
      <c r="G237" s="11" t="s">
        <v>482</v>
      </c>
      <c r="H237" s="11" t="s">
        <v>498</v>
      </c>
      <c r="I237" s="11" t="s">
        <v>41</v>
      </c>
      <c r="J237" s="13" t="s">
        <v>471</v>
      </c>
      <c r="K237" s="13">
        <v>6</v>
      </c>
      <c r="L237" s="13">
        <v>82000</v>
      </c>
      <c r="M237" s="15">
        <f>L237*K237</f>
        <v>492000</v>
      </c>
      <c r="N237" s="15">
        <v>551040</v>
      </c>
      <c r="O237" s="28" t="s">
        <v>32</v>
      </c>
      <c r="P237" s="17"/>
      <c r="Q237" s="17"/>
      <c r="R237" s="17"/>
      <c r="S237" s="17"/>
      <c r="T237" s="17"/>
      <c r="U237" s="17"/>
      <c r="V237" s="17"/>
      <c r="W237" s="17"/>
      <c r="X237" s="17"/>
      <c r="Y237" s="17"/>
      <c r="Z237" s="17"/>
    </row>
    <row r="238" spans="1:26" ht="108.75" customHeight="1" x14ac:dyDescent="0.25">
      <c r="A238" s="11">
        <v>224</v>
      </c>
      <c r="B238" s="12" t="s">
        <v>45</v>
      </c>
      <c r="C238" s="14" t="s">
        <v>71</v>
      </c>
      <c r="D238" s="14" t="s">
        <v>472</v>
      </c>
      <c r="E238" s="13" t="s">
        <v>20</v>
      </c>
      <c r="F238" s="14" t="s">
        <v>42</v>
      </c>
      <c r="G238" s="11" t="s">
        <v>482</v>
      </c>
      <c r="H238" s="11" t="s">
        <v>509</v>
      </c>
      <c r="I238" s="11" t="s">
        <v>41</v>
      </c>
      <c r="J238" s="13" t="s">
        <v>107</v>
      </c>
      <c r="K238" s="13"/>
      <c r="L238" s="13"/>
      <c r="M238" s="15">
        <v>360000</v>
      </c>
      <c r="N238" s="15">
        <f>M238*1.12</f>
        <v>403200.00000000006</v>
      </c>
      <c r="O238" s="28" t="s">
        <v>32</v>
      </c>
      <c r="P238" s="17"/>
      <c r="Q238" s="17"/>
      <c r="R238" s="17"/>
      <c r="S238" s="17"/>
      <c r="T238" s="17"/>
      <c r="U238" s="17"/>
      <c r="V238" s="17"/>
      <c r="W238" s="17"/>
      <c r="X238" s="17"/>
      <c r="Y238" s="17"/>
      <c r="Z238" s="17"/>
    </row>
    <row r="239" spans="1:26" ht="103.5" customHeight="1" x14ac:dyDescent="0.25">
      <c r="A239" s="11">
        <v>225</v>
      </c>
      <c r="B239" s="12" t="s">
        <v>45</v>
      </c>
      <c r="C239" s="14" t="s">
        <v>139</v>
      </c>
      <c r="D239" s="14" t="s">
        <v>470</v>
      </c>
      <c r="E239" s="13" t="s">
        <v>20</v>
      </c>
      <c r="F239" s="14" t="s">
        <v>42</v>
      </c>
      <c r="G239" s="11" t="s">
        <v>482</v>
      </c>
      <c r="H239" s="11" t="s">
        <v>509</v>
      </c>
      <c r="I239" s="11" t="s">
        <v>41</v>
      </c>
      <c r="J239" s="13" t="s">
        <v>107</v>
      </c>
      <c r="K239" s="13"/>
      <c r="L239" s="13"/>
      <c r="M239" s="15">
        <v>120000</v>
      </c>
      <c r="N239" s="15">
        <f>M239*1.12</f>
        <v>134400</v>
      </c>
      <c r="O239" s="28" t="s">
        <v>32</v>
      </c>
      <c r="P239" s="17"/>
      <c r="Q239" s="17"/>
      <c r="R239" s="17"/>
      <c r="S239" s="17"/>
      <c r="T239" s="17"/>
      <c r="U239" s="17"/>
      <c r="V239" s="17"/>
      <c r="W239" s="17"/>
      <c r="X239" s="17"/>
      <c r="Y239" s="17"/>
      <c r="Z239" s="17"/>
    </row>
    <row r="240" spans="1:26" ht="103.5" customHeight="1" x14ac:dyDescent="0.25">
      <c r="A240" s="11">
        <v>226</v>
      </c>
      <c r="B240" s="12" t="s">
        <v>45</v>
      </c>
      <c r="C240" s="54" t="s">
        <v>524</v>
      </c>
      <c r="D240" s="54" t="s">
        <v>525</v>
      </c>
      <c r="E240" s="13" t="s">
        <v>20</v>
      </c>
      <c r="F240" s="14" t="s">
        <v>42</v>
      </c>
      <c r="G240" s="11" t="s">
        <v>482</v>
      </c>
      <c r="H240" s="11" t="s">
        <v>348</v>
      </c>
      <c r="I240" s="11" t="s">
        <v>41</v>
      </c>
      <c r="J240" s="13" t="s">
        <v>107</v>
      </c>
      <c r="K240" s="13"/>
      <c r="L240" s="13"/>
      <c r="M240" s="15">
        <v>1888750</v>
      </c>
      <c r="N240" s="15">
        <f>M240*1.12</f>
        <v>2115400</v>
      </c>
      <c r="O240" s="28" t="s">
        <v>32</v>
      </c>
      <c r="P240" s="17"/>
      <c r="Q240" s="17"/>
      <c r="R240" s="17"/>
      <c r="S240" s="17"/>
      <c r="T240" s="17"/>
      <c r="U240" s="17"/>
      <c r="V240" s="17"/>
      <c r="W240" s="17"/>
      <c r="X240" s="17"/>
      <c r="Y240" s="17"/>
      <c r="Z240" s="17"/>
    </row>
    <row r="241" spans="1:26" ht="103.5" customHeight="1" x14ac:dyDescent="0.25">
      <c r="A241" s="11">
        <v>227</v>
      </c>
      <c r="B241" s="12" t="s">
        <v>45</v>
      </c>
      <c r="C241" s="54" t="s">
        <v>526</v>
      </c>
      <c r="D241" s="54" t="s">
        <v>526</v>
      </c>
      <c r="E241" s="13" t="s">
        <v>20</v>
      </c>
      <c r="F241" s="14" t="s">
        <v>527</v>
      </c>
      <c r="G241" s="11" t="s">
        <v>482</v>
      </c>
      <c r="H241" s="11" t="s">
        <v>497</v>
      </c>
      <c r="I241" s="11" t="s">
        <v>41</v>
      </c>
      <c r="J241" s="13" t="s">
        <v>107</v>
      </c>
      <c r="K241" s="13"/>
      <c r="L241" s="13"/>
      <c r="M241" s="15">
        <v>108000</v>
      </c>
      <c r="N241" s="15">
        <f>M241*1.12</f>
        <v>120960.00000000001</v>
      </c>
      <c r="O241" s="28" t="s">
        <v>32</v>
      </c>
      <c r="P241" s="17"/>
      <c r="Q241" s="17"/>
      <c r="R241" s="17"/>
      <c r="S241" s="17"/>
      <c r="T241" s="17"/>
      <c r="U241" s="17"/>
      <c r="V241" s="17"/>
      <c r="W241" s="17"/>
      <c r="X241" s="17"/>
      <c r="Y241" s="17"/>
      <c r="Z241" s="17"/>
    </row>
    <row r="242" spans="1:26" s="66" customFormat="1" ht="19.5" customHeight="1" x14ac:dyDescent="0.25">
      <c r="A242" s="68"/>
      <c r="B242" s="59" t="s">
        <v>31</v>
      </c>
      <c r="C242" s="60"/>
      <c r="D242" s="60"/>
      <c r="E242" s="68"/>
      <c r="F242" s="14"/>
      <c r="G242" s="11"/>
      <c r="H242" s="68"/>
      <c r="I242" s="61"/>
      <c r="J242" s="62"/>
      <c r="K242" s="68"/>
      <c r="L242" s="63"/>
      <c r="M242" s="64">
        <f>SUM(M15:M241)</f>
        <v>2191726204.3503561</v>
      </c>
      <c r="N242" s="64">
        <f t="shared" ref="N242" si="70">M242*1.12</f>
        <v>2454733348.8723989</v>
      </c>
      <c r="O242" s="16"/>
      <c r="P242" s="65"/>
      <c r="Q242" s="65"/>
      <c r="R242" s="65"/>
      <c r="S242" s="65"/>
      <c r="T242" s="65"/>
      <c r="U242" s="65"/>
      <c r="V242" s="65"/>
      <c r="W242" s="65"/>
      <c r="X242" s="65"/>
      <c r="Y242" s="65"/>
      <c r="Z242" s="65"/>
    </row>
    <row r="243" spans="1:26" s="66" customFormat="1" ht="19.5" customHeight="1" x14ac:dyDescent="0.25">
      <c r="A243" s="100" t="s">
        <v>77</v>
      </c>
      <c r="B243" s="100"/>
      <c r="C243" s="60"/>
      <c r="D243" s="60"/>
      <c r="E243" s="68"/>
      <c r="F243" s="14"/>
      <c r="G243" s="11"/>
      <c r="H243" s="68"/>
      <c r="I243" s="61"/>
      <c r="J243" s="62"/>
      <c r="K243" s="68"/>
      <c r="L243" s="63"/>
      <c r="M243" s="64"/>
      <c r="N243" s="64"/>
      <c r="O243" s="16"/>
      <c r="P243" s="65"/>
      <c r="Q243" s="65"/>
      <c r="R243" s="65"/>
      <c r="S243" s="65"/>
      <c r="T243" s="65"/>
      <c r="U243" s="65"/>
      <c r="V243" s="65"/>
      <c r="W243" s="65"/>
      <c r="X243" s="65"/>
      <c r="Y243" s="65"/>
      <c r="Z243" s="65"/>
    </row>
    <row r="244" spans="1:26" s="66" customFormat="1" ht="124.5" customHeight="1" x14ac:dyDescent="0.25">
      <c r="A244" s="11">
        <v>1</v>
      </c>
      <c r="B244" s="12" t="s">
        <v>45</v>
      </c>
      <c r="C244" s="13" t="s">
        <v>62</v>
      </c>
      <c r="D244" s="13" t="s">
        <v>63</v>
      </c>
      <c r="E244" s="11" t="s">
        <v>20</v>
      </c>
      <c r="F244" s="14" t="s">
        <v>42</v>
      </c>
      <c r="G244" s="11" t="s">
        <v>482</v>
      </c>
      <c r="H244" s="13" t="s">
        <v>199</v>
      </c>
      <c r="I244" s="11" t="s">
        <v>64</v>
      </c>
      <c r="J244" s="13"/>
      <c r="K244" s="13"/>
      <c r="L244" s="18"/>
      <c r="M244" s="15">
        <v>1257000</v>
      </c>
      <c r="N244" s="67">
        <f>M244*1.12</f>
        <v>1407840.0000000002</v>
      </c>
      <c r="O244" s="16" t="s">
        <v>32</v>
      </c>
      <c r="P244" s="65"/>
      <c r="Q244" s="65"/>
      <c r="R244" s="65"/>
      <c r="S244" s="65"/>
      <c r="T244" s="65"/>
      <c r="U244" s="65"/>
      <c r="V244" s="65"/>
      <c r="W244" s="65"/>
      <c r="X244" s="65"/>
      <c r="Y244" s="65"/>
      <c r="Z244" s="65"/>
    </row>
    <row r="245" spans="1:26" s="66" customFormat="1" ht="123.75" customHeight="1" x14ac:dyDescent="0.25">
      <c r="A245" s="11">
        <v>2</v>
      </c>
      <c r="B245" s="12" t="s">
        <v>45</v>
      </c>
      <c r="C245" s="14" t="s">
        <v>200</v>
      </c>
      <c r="D245" s="14" t="s">
        <v>201</v>
      </c>
      <c r="E245" s="11" t="s">
        <v>20</v>
      </c>
      <c r="F245" s="14" t="s">
        <v>42</v>
      </c>
      <c r="G245" s="11" t="s">
        <v>482</v>
      </c>
      <c r="H245" s="13" t="s">
        <v>199</v>
      </c>
      <c r="I245" s="11" t="s">
        <v>198</v>
      </c>
      <c r="J245" s="13"/>
      <c r="K245" s="11"/>
      <c r="L245" s="18"/>
      <c r="M245" s="18">
        <v>1071429</v>
      </c>
      <c r="N245" s="15">
        <f>M245*1.12</f>
        <v>1200000.4800000002</v>
      </c>
      <c r="O245" s="28" t="s">
        <v>32</v>
      </c>
      <c r="P245" s="65"/>
      <c r="Q245" s="65"/>
      <c r="R245" s="65"/>
      <c r="S245" s="65"/>
      <c r="T245" s="65"/>
      <c r="U245" s="65"/>
      <c r="V245" s="65"/>
      <c r="W245" s="65"/>
      <c r="X245" s="65"/>
      <c r="Y245" s="65"/>
      <c r="Z245" s="65"/>
    </row>
    <row r="246" spans="1:26" s="66" customFormat="1" ht="235.5" customHeight="1" x14ac:dyDescent="0.25">
      <c r="A246" s="11">
        <v>3</v>
      </c>
      <c r="B246" s="12" t="s">
        <v>45</v>
      </c>
      <c r="C246" s="14" t="s">
        <v>202</v>
      </c>
      <c r="D246" s="14" t="s">
        <v>203</v>
      </c>
      <c r="E246" s="11" t="s">
        <v>20</v>
      </c>
      <c r="F246" s="14" t="s">
        <v>42</v>
      </c>
      <c r="G246" s="11" t="s">
        <v>482</v>
      </c>
      <c r="H246" s="14" t="s">
        <v>507</v>
      </c>
      <c r="I246" s="11" t="s">
        <v>25</v>
      </c>
      <c r="J246" s="11"/>
      <c r="K246" s="11"/>
      <c r="L246" s="11"/>
      <c r="M246" s="16">
        <v>96873000</v>
      </c>
      <c r="N246" s="16">
        <f>M246*1.12</f>
        <v>108497760.00000001</v>
      </c>
      <c r="O246" s="28" t="s">
        <v>32</v>
      </c>
      <c r="P246" s="65"/>
      <c r="Q246" s="65"/>
      <c r="R246" s="65"/>
      <c r="S246" s="65"/>
      <c r="T246" s="65"/>
      <c r="U246" s="65"/>
      <c r="V246" s="65"/>
      <c r="W246" s="65"/>
      <c r="X246" s="65"/>
      <c r="Y246" s="65"/>
      <c r="Z246" s="65"/>
    </row>
    <row r="247" spans="1:26" s="66" customFormat="1" ht="110.25" customHeight="1" x14ac:dyDescent="0.25">
      <c r="A247" s="11">
        <v>4</v>
      </c>
      <c r="B247" s="12" t="s">
        <v>45</v>
      </c>
      <c r="C247" s="13" t="s">
        <v>235</v>
      </c>
      <c r="D247" s="13" t="s">
        <v>238</v>
      </c>
      <c r="E247" s="13" t="s">
        <v>24</v>
      </c>
      <c r="F247" s="13" t="s">
        <v>42</v>
      </c>
      <c r="G247" s="11" t="s">
        <v>482</v>
      </c>
      <c r="H247" s="20" t="s">
        <v>495</v>
      </c>
      <c r="I247" s="24" t="s">
        <v>105</v>
      </c>
      <c r="J247" s="13"/>
      <c r="K247" s="13"/>
      <c r="L247" s="15"/>
      <c r="M247" s="15">
        <v>13042000</v>
      </c>
      <c r="N247" s="15">
        <f>M247*1.12</f>
        <v>14607040.000000002</v>
      </c>
      <c r="O247" s="13" t="s">
        <v>32</v>
      </c>
      <c r="P247" s="65"/>
      <c r="Q247" s="65"/>
      <c r="R247" s="65"/>
      <c r="S247" s="65"/>
      <c r="T247" s="65"/>
      <c r="U247" s="65"/>
      <c r="V247" s="65"/>
      <c r="W247" s="65"/>
      <c r="X247" s="65"/>
      <c r="Y247" s="65"/>
      <c r="Z247" s="65"/>
    </row>
    <row r="248" spans="1:26" s="66" customFormat="1" ht="123.75" customHeight="1" x14ac:dyDescent="0.25">
      <c r="A248" s="11">
        <v>5</v>
      </c>
      <c r="B248" s="12" t="s">
        <v>45</v>
      </c>
      <c r="C248" s="13" t="s">
        <v>108</v>
      </c>
      <c r="D248" s="13" t="s">
        <v>109</v>
      </c>
      <c r="E248" s="13" t="s">
        <v>24</v>
      </c>
      <c r="F248" s="13" t="s">
        <v>42</v>
      </c>
      <c r="G248" s="11" t="s">
        <v>482</v>
      </c>
      <c r="H248" s="13" t="s">
        <v>328</v>
      </c>
      <c r="I248" s="24" t="s">
        <v>115</v>
      </c>
      <c r="J248" s="13"/>
      <c r="K248" s="13"/>
      <c r="L248" s="15"/>
      <c r="M248" s="15">
        <f>63000*1000</f>
        <v>63000000</v>
      </c>
      <c r="N248" s="15">
        <f t="shared" ref="N248:N255" si="71">M248*1.12</f>
        <v>70560000</v>
      </c>
      <c r="O248" s="13" t="s">
        <v>32</v>
      </c>
      <c r="P248" s="65"/>
      <c r="Q248" s="65"/>
      <c r="R248" s="65"/>
      <c r="S248" s="65"/>
      <c r="T248" s="65"/>
      <c r="U248" s="65"/>
      <c r="V248" s="65"/>
      <c r="W248" s="65"/>
      <c r="X248" s="65"/>
      <c r="Y248" s="65"/>
      <c r="Z248" s="65"/>
    </row>
    <row r="249" spans="1:26" s="66" customFormat="1" ht="123" customHeight="1" x14ac:dyDescent="0.25">
      <c r="A249" s="11">
        <v>6</v>
      </c>
      <c r="B249" s="12" t="s">
        <v>45</v>
      </c>
      <c r="C249" s="13" t="s">
        <v>110</v>
      </c>
      <c r="D249" s="13" t="s">
        <v>238</v>
      </c>
      <c r="E249" s="11" t="s">
        <v>20</v>
      </c>
      <c r="F249" s="13" t="s">
        <v>42</v>
      </c>
      <c r="G249" s="11" t="s">
        <v>482</v>
      </c>
      <c r="H249" s="11" t="s">
        <v>498</v>
      </c>
      <c r="I249" s="24" t="s">
        <v>106</v>
      </c>
      <c r="J249" s="13"/>
      <c r="K249" s="13"/>
      <c r="L249" s="15"/>
      <c r="M249" s="15">
        <f>2500*1000</f>
        <v>2500000</v>
      </c>
      <c r="N249" s="15">
        <f t="shared" si="71"/>
        <v>2800000.0000000005</v>
      </c>
      <c r="O249" s="13" t="s">
        <v>32</v>
      </c>
      <c r="P249" s="65"/>
      <c r="Q249" s="65"/>
      <c r="R249" s="65"/>
      <c r="S249" s="65"/>
      <c r="T249" s="65"/>
      <c r="U249" s="65"/>
      <c r="V249" s="65"/>
      <c r="W249" s="65"/>
      <c r="X249" s="65"/>
      <c r="Y249" s="65"/>
      <c r="Z249" s="65"/>
    </row>
    <row r="250" spans="1:26" s="66" customFormat="1" ht="97.5" customHeight="1" x14ac:dyDescent="0.25">
      <c r="A250" s="11">
        <v>7</v>
      </c>
      <c r="B250" s="12" t="s">
        <v>45</v>
      </c>
      <c r="C250" s="13" t="s">
        <v>111</v>
      </c>
      <c r="D250" s="13" t="s">
        <v>238</v>
      </c>
      <c r="E250" s="13" t="s">
        <v>24</v>
      </c>
      <c r="F250" s="13" t="s">
        <v>42</v>
      </c>
      <c r="G250" s="11" t="s">
        <v>482</v>
      </c>
      <c r="H250" s="11" t="s">
        <v>497</v>
      </c>
      <c r="I250" s="24" t="s">
        <v>105</v>
      </c>
      <c r="J250" s="13"/>
      <c r="K250" s="13"/>
      <c r="L250" s="15"/>
      <c r="M250" s="15">
        <f>14166*1000</f>
        <v>14166000</v>
      </c>
      <c r="N250" s="15">
        <f t="shared" si="71"/>
        <v>15865920.000000002</v>
      </c>
      <c r="O250" s="13" t="s">
        <v>32</v>
      </c>
      <c r="P250" s="65"/>
      <c r="Q250" s="65"/>
      <c r="R250" s="65"/>
      <c r="S250" s="65"/>
      <c r="T250" s="65"/>
      <c r="U250" s="65"/>
      <c r="V250" s="65"/>
      <c r="W250" s="65"/>
      <c r="X250" s="65"/>
      <c r="Y250" s="65"/>
      <c r="Z250" s="65"/>
    </row>
    <row r="251" spans="1:26" s="66" customFormat="1" ht="120" customHeight="1" x14ac:dyDescent="0.25">
      <c r="A251" s="11">
        <v>8</v>
      </c>
      <c r="B251" s="12" t="s">
        <v>45</v>
      </c>
      <c r="C251" s="13" t="s">
        <v>112</v>
      </c>
      <c r="D251" s="13" t="s">
        <v>238</v>
      </c>
      <c r="E251" s="11" t="s">
        <v>20</v>
      </c>
      <c r="F251" s="13" t="s">
        <v>42</v>
      </c>
      <c r="G251" s="11" t="s">
        <v>482</v>
      </c>
      <c r="H251" s="11" t="s">
        <v>494</v>
      </c>
      <c r="I251" s="24" t="s">
        <v>106</v>
      </c>
      <c r="J251" s="13"/>
      <c r="K251" s="13"/>
      <c r="L251" s="15"/>
      <c r="M251" s="15">
        <f>5000*1000</f>
        <v>5000000</v>
      </c>
      <c r="N251" s="15">
        <f t="shared" si="71"/>
        <v>5600000.0000000009</v>
      </c>
      <c r="O251" s="13" t="s">
        <v>32</v>
      </c>
      <c r="P251" s="65"/>
      <c r="Q251" s="65"/>
      <c r="R251" s="65"/>
      <c r="S251" s="65"/>
      <c r="T251" s="65"/>
      <c r="U251" s="65"/>
      <c r="V251" s="65"/>
      <c r="W251" s="65"/>
      <c r="X251" s="65"/>
      <c r="Y251" s="65"/>
      <c r="Z251" s="65"/>
    </row>
    <row r="252" spans="1:26" s="66" customFormat="1" ht="80.25" customHeight="1" x14ac:dyDescent="0.25">
      <c r="A252" s="11">
        <v>9</v>
      </c>
      <c r="B252" s="12" t="s">
        <v>45</v>
      </c>
      <c r="C252" s="13" t="s">
        <v>113</v>
      </c>
      <c r="D252" s="13" t="s">
        <v>238</v>
      </c>
      <c r="E252" s="11" t="s">
        <v>20</v>
      </c>
      <c r="F252" s="13" t="s">
        <v>42</v>
      </c>
      <c r="G252" s="11" t="s">
        <v>482</v>
      </c>
      <c r="H252" s="11" t="s">
        <v>348</v>
      </c>
      <c r="I252" s="24" t="s">
        <v>106</v>
      </c>
      <c r="J252" s="13"/>
      <c r="K252" s="13"/>
      <c r="L252" s="15"/>
      <c r="M252" s="15">
        <f>4000*1000</f>
        <v>4000000</v>
      </c>
      <c r="N252" s="15">
        <f t="shared" si="71"/>
        <v>4480000</v>
      </c>
      <c r="O252" s="13" t="s">
        <v>32</v>
      </c>
      <c r="P252" s="65"/>
      <c r="Q252" s="65"/>
      <c r="R252" s="65"/>
      <c r="S252" s="65"/>
      <c r="T252" s="65"/>
      <c r="U252" s="65"/>
      <c r="V252" s="65"/>
      <c r="W252" s="65"/>
      <c r="X252" s="65"/>
      <c r="Y252" s="65"/>
      <c r="Z252" s="65"/>
    </row>
    <row r="253" spans="1:26" s="66" customFormat="1" ht="64.5" customHeight="1" x14ac:dyDescent="0.25">
      <c r="A253" s="11">
        <v>10</v>
      </c>
      <c r="B253" s="12" t="s">
        <v>45</v>
      </c>
      <c r="C253" s="13" t="s">
        <v>114</v>
      </c>
      <c r="D253" s="13" t="s">
        <v>238</v>
      </c>
      <c r="E253" s="11" t="s">
        <v>20</v>
      </c>
      <c r="F253" s="13" t="s">
        <v>42</v>
      </c>
      <c r="G253" s="11" t="s">
        <v>482</v>
      </c>
      <c r="H253" s="11" t="s">
        <v>348</v>
      </c>
      <c r="I253" s="24" t="s">
        <v>106</v>
      </c>
      <c r="J253" s="13"/>
      <c r="K253" s="13"/>
      <c r="L253" s="15"/>
      <c r="M253" s="15">
        <f>1500*1000</f>
        <v>1500000</v>
      </c>
      <c r="N253" s="15">
        <f t="shared" si="71"/>
        <v>1680000.0000000002</v>
      </c>
      <c r="O253" s="13" t="s">
        <v>32</v>
      </c>
      <c r="P253" s="65"/>
      <c r="Q253" s="65"/>
      <c r="R253" s="65"/>
      <c r="S253" s="65"/>
      <c r="T253" s="65"/>
      <c r="U253" s="65"/>
      <c r="V253" s="65"/>
      <c r="W253" s="65"/>
      <c r="X253" s="65"/>
      <c r="Y253" s="65"/>
      <c r="Z253" s="65"/>
    </row>
    <row r="254" spans="1:26" s="66" customFormat="1" ht="90" customHeight="1" x14ac:dyDescent="0.25">
      <c r="A254" s="11">
        <v>11</v>
      </c>
      <c r="B254" s="12" t="s">
        <v>45</v>
      </c>
      <c r="C254" s="13" t="s">
        <v>236</v>
      </c>
      <c r="D254" s="13" t="s">
        <v>238</v>
      </c>
      <c r="E254" s="13" t="s">
        <v>24</v>
      </c>
      <c r="F254" s="13" t="s">
        <v>42</v>
      </c>
      <c r="G254" s="11" t="s">
        <v>482</v>
      </c>
      <c r="H254" s="11" t="s">
        <v>496</v>
      </c>
      <c r="I254" s="24" t="s">
        <v>105</v>
      </c>
      <c r="J254" s="13"/>
      <c r="K254" s="13"/>
      <c r="L254" s="15"/>
      <c r="M254" s="15">
        <f>12602*1000</f>
        <v>12602000</v>
      </c>
      <c r="N254" s="15">
        <f t="shared" si="71"/>
        <v>14114240.000000002</v>
      </c>
      <c r="O254" s="13" t="s">
        <v>32</v>
      </c>
      <c r="P254" s="65"/>
      <c r="Q254" s="65"/>
      <c r="R254" s="65"/>
      <c r="S254" s="65"/>
      <c r="T254" s="65"/>
      <c r="U254" s="65"/>
      <c r="V254" s="65"/>
      <c r="W254" s="65"/>
      <c r="X254" s="65"/>
      <c r="Y254" s="65"/>
      <c r="Z254" s="65"/>
    </row>
    <row r="255" spans="1:26" s="66" customFormat="1" ht="90" customHeight="1" x14ac:dyDescent="0.25">
      <c r="A255" s="11">
        <v>12</v>
      </c>
      <c r="B255" s="12" t="s">
        <v>45</v>
      </c>
      <c r="C255" s="13" t="s">
        <v>237</v>
      </c>
      <c r="D255" s="13" t="s">
        <v>238</v>
      </c>
      <c r="E255" s="13" t="s">
        <v>24</v>
      </c>
      <c r="F255" s="13" t="s">
        <v>42</v>
      </c>
      <c r="G255" s="11" t="s">
        <v>482</v>
      </c>
      <c r="H255" s="11" t="s">
        <v>509</v>
      </c>
      <c r="I255" s="24" t="s">
        <v>105</v>
      </c>
      <c r="J255" s="13"/>
      <c r="K255" s="13"/>
      <c r="L255" s="15"/>
      <c r="M255" s="15">
        <f>13081*1000</f>
        <v>13081000</v>
      </c>
      <c r="N255" s="15">
        <f t="shared" si="71"/>
        <v>14650720.000000002</v>
      </c>
      <c r="O255" s="13" t="s">
        <v>32</v>
      </c>
      <c r="P255" s="65"/>
      <c r="Q255" s="65"/>
      <c r="R255" s="65"/>
      <c r="S255" s="65"/>
      <c r="T255" s="65"/>
      <c r="U255" s="65"/>
      <c r="V255" s="65"/>
      <c r="W255" s="65"/>
      <c r="X255" s="65"/>
      <c r="Y255" s="65"/>
      <c r="Z255" s="65"/>
    </row>
    <row r="256" spans="1:26" s="66" customFormat="1" ht="63.75" customHeight="1" x14ac:dyDescent="0.25">
      <c r="A256" s="11">
        <v>13</v>
      </c>
      <c r="B256" s="12" t="s">
        <v>45</v>
      </c>
      <c r="C256" s="13" t="s">
        <v>344</v>
      </c>
      <c r="D256" s="13" t="s">
        <v>344</v>
      </c>
      <c r="E256" s="11" t="s">
        <v>20</v>
      </c>
      <c r="F256" s="14" t="s">
        <v>42</v>
      </c>
      <c r="G256" s="11" t="s">
        <v>482</v>
      </c>
      <c r="H256" s="11" t="s">
        <v>497</v>
      </c>
      <c r="I256" s="13" t="s">
        <v>41</v>
      </c>
      <c r="J256" s="13"/>
      <c r="K256" s="13"/>
      <c r="L256" s="18"/>
      <c r="M256" s="15">
        <v>530000</v>
      </c>
      <c r="N256" s="15">
        <f>M256*1.12</f>
        <v>593600</v>
      </c>
      <c r="O256" s="28" t="s">
        <v>32</v>
      </c>
      <c r="P256" s="65"/>
      <c r="Q256" s="65"/>
      <c r="R256" s="65"/>
      <c r="S256" s="65"/>
      <c r="T256" s="65"/>
      <c r="U256" s="65"/>
      <c r="V256" s="65"/>
      <c r="W256" s="65"/>
      <c r="X256" s="65"/>
      <c r="Y256" s="65"/>
      <c r="Z256" s="65"/>
    </row>
    <row r="257" spans="1:26" s="66" customFormat="1" ht="63.75" customHeight="1" x14ac:dyDescent="0.25">
      <c r="A257" s="11">
        <v>14</v>
      </c>
      <c r="B257" s="12" t="s">
        <v>45</v>
      </c>
      <c r="C257" s="13" t="s">
        <v>344</v>
      </c>
      <c r="D257" s="13" t="s">
        <v>344</v>
      </c>
      <c r="E257" s="11" t="s">
        <v>20</v>
      </c>
      <c r="F257" s="14" t="s">
        <v>42</v>
      </c>
      <c r="G257" s="11" t="s">
        <v>482</v>
      </c>
      <c r="H257" s="11" t="s">
        <v>137</v>
      </c>
      <c r="I257" s="13" t="s">
        <v>41</v>
      </c>
      <c r="J257" s="13"/>
      <c r="K257" s="13"/>
      <c r="L257" s="18"/>
      <c r="M257" s="15">
        <v>206200</v>
      </c>
      <c r="N257" s="15">
        <f>M257*1.12</f>
        <v>230944.00000000003</v>
      </c>
      <c r="O257" s="28" t="s">
        <v>32</v>
      </c>
      <c r="P257" s="65"/>
      <c r="Q257" s="65"/>
      <c r="R257" s="65"/>
      <c r="S257" s="65"/>
      <c r="T257" s="65"/>
      <c r="U257" s="65"/>
      <c r="V257" s="65"/>
      <c r="W257" s="65"/>
      <c r="X257" s="65"/>
      <c r="Y257" s="65"/>
      <c r="Z257" s="65"/>
    </row>
    <row r="258" spans="1:26" s="66" customFormat="1" ht="116.25" customHeight="1" x14ac:dyDescent="0.25">
      <c r="A258" s="11">
        <v>15</v>
      </c>
      <c r="B258" s="12" t="s">
        <v>45</v>
      </c>
      <c r="C258" s="14" t="s">
        <v>377</v>
      </c>
      <c r="D258" s="14" t="s">
        <v>378</v>
      </c>
      <c r="E258" s="11" t="s">
        <v>20</v>
      </c>
      <c r="F258" s="14" t="s">
        <v>42</v>
      </c>
      <c r="G258" s="11" t="s">
        <v>482</v>
      </c>
      <c r="H258" s="13" t="s">
        <v>199</v>
      </c>
      <c r="I258" s="11" t="s">
        <v>381</v>
      </c>
      <c r="J258" s="13"/>
      <c r="K258" s="13"/>
      <c r="L258" s="15"/>
      <c r="M258" s="15">
        <v>460000</v>
      </c>
      <c r="N258" s="15">
        <v>515200</v>
      </c>
      <c r="O258" s="28" t="s">
        <v>32</v>
      </c>
      <c r="P258" s="65"/>
      <c r="Q258" s="65"/>
      <c r="R258" s="65"/>
      <c r="S258" s="65"/>
      <c r="T258" s="65"/>
      <c r="U258" s="65"/>
      <c r="V258" s="65"/>
      <c r="W258" s="65"/>
      <c r="X258" s="65"/>
      <c r="Y258" s="65"/>
      <c r="Z258" s="65"/>
    </row>
    <row r="259" spans="1:26" s="66" customFormat="1" ht="117" customHeight="1" x14ac:dyDescent="0.25">
      <c r="A259" s="11">
        <v>16</v>
      </c>
      <c r="B259" s="12" t="s">
        <v>45</v>
      </c>
      <c r="C259" s="14" t="s">
        <v>379</v>
      </c>
      <c r="D259" s="14" t="s">
        <v>380</v>
      </c>
      <c r="E259" s="11" t="s">
        <v>20</v>
      </c>
      <c r="F259" s="14" t="s">
        <v>42</v>
      </c>
      <c r="G259" s="11" t="s">
        <v>482</v>
      </c>
      <c r="H259" s="13" t="s">
        <v>199</v>
      </c>
      <c r="I259" s="11" t="s">
        <v>382</v>
      </c>
      <c r="J259" s="13"/>
      <c r="K259" s="13"/>
      <c r="L259" s="15"/>
      <c r="M259" s="15">
        <v>362143</v>
      </c>
      <c r="N259" s="15">
        <v>405600</v>
      </c>
      <c r="O259" s="28" t="s">
        <v>32</v>
      </c>
      <c r="P259" s="65"/>
      <c r="Q259" s="65"/>
      <c r="R259" s="65"/>
      <c r="S259" s="65"/>
      <c r="T259" s="65"/>
      <c r="U259" s="65"/>
      <c r="V259" s="65"/>
      <c r="W259" s="65"/>
      <c r="X259" s="65"/>
      <c r="Y259" s="65"/>
      <c r="Z259" s="65"/>
    </row>
    <row r="260" spans="1:26" s="66" customFormat="1" ht="121.5" customHeight="1" x14ac:dyDescent="0.25">
      <c r="A260" s="11">
        <v>17</v>
      </c>
      <c r="B260" s="12" t="s">
        <v>45</v>
      </c>
      <c r="C260" s="14" t="s">
        <v>387</v>
      </c>
      <c r="D260" s="14" t="s">
        <v>387</v>
      </c>
      <c r="E260" s="11" t="s">
        <v>20</v>
      </c>
      <c r="F260" s="14" t="s">
        <v>42</v>
      </c>
      <c r="G260" s="11" t="s">
        <v>482</v>
      </c>
      <c r="H260" s="11" t="s">
        <v>498</v>
      </c>
      <c r="I260" s="11" t="s">
        <v>382</v>
      </c>
      <c r="J260" s="13"/>
      <c r="K260" s="13"/>
      <c r="L260" s="13"/>
      <c r="M260" s="15">
        <v>891000</v>
      </c>
      <c r="N260" s="15">
        <f t="shared" ref="N260" si="72">M260*1.12</f>
        <v>997920.00000000012</v>
      </c>
      <c r="O260" s="28" t="s">
        <v>32</v>
      </c>
      <c r="P260" s="65"/>
      <c r="Q260" s="65"/>
      <c r="R260" s="65"/>
      <c r="S260" s="65"/>
      <c r="T260" s="65"/>
      <c r="U260" s="65"/>
      <c r="V260" s="65"/>
      <c r="W260" s="65"/>
      <c r="X260" s="65"/>
      <c r="Y260" s="65"/>
      <c r="Z260" s="65"/>
    </row>
    <row r="261" spans="1:26" s="66" customFormat="1" ht="206.25" customHeight="1" x14ac:dyDescent="0.25">
      <c r="A261" s="11">
        <v>18</v>
      </c>
      <c r="B261" s="12" t="s">
        <v>45</v>
      </c>
      <c r="C261" s="14" t="s">
        <v>425</v>
      </c>
      <c r="D261" s="14" t="s">
        <v>426</v>
      </c>
      <c r="E261" s="11" t="s">
        <v>24</v>
      </c>
      <c r="F261" s="14" t="s">
        <v>42</v>
      </c>
      <c r="G261" s="11" t="s">
        <v>482</v>
      </c>
      <c r="H261" s="11" t="s">
        <v>427</v>
      </c>
      <c r="I261" s="11" t="s">
        <v>428</v>
      </c>
      <c r="J261" s="13"/>
      <c r="K261" s="13"/>
      <c r="L261" s="13"/>
      <c r="M261" s="15">
        <v>20000000</v>
      </c>
      <c r="N261" s="15">
        <f t="shared" ref="N261" si="73">M261*1.12</f>
        <v>22400000.000000004</v>
      </c>
      <c r="O261" s="28" t="s">
        <v>32</v>
      </c>
      <c r="P261" s="65"/>
      <c r="Q261" s="65"/>
      <c r="R261" s="65"/>
      <c r="S261" s="65"/>
      <c r="T261" s="65"/>
      <c r="U261" s="65"/>
      <c r="V261" s="65"/>
      <c r="W261" s="65"/>
      <c r="X261" s="65"/>
      <c r="Y261" s="65"/>
      <c r="Z261" s="65"/>
    </row>
    <row r="262" spans="1:26" s="66" customFormat="1" ht="19.5" customHeight="1" x14ac:dyDescent="0.25">
      <c r="A262" s="68"/>
      <c r="B262" s="59" t="s">
        <v>78</v>
      </c>
      <c r="C262" s="60"/>
      <c r="D262" s="60"/>
      <c r="E262" s="68"/>
      <c r="F262" s="14"/>
      <c r="G262" s="11"/>
      <c r="H262" s="68"/>
      <c r="I262" s="61"/>
      <c r="J262" s="62"/>
      <c r="K262" s="68"/>
      <c r="L262" s="63"/>
      <c r="M262" s="64">
        <f>SUM(M244:M261)</f>
        <v>250541772</v>
      </c>
      <c r="N262" s="64">
        <f>M262*1.12</f>
        <v>280606784.64000005</v>
      </c>
      <c r="O262" s="16"/>
      <c r="P262" s="65"/>
      <c r="Q262" s="65"/>
      <c r="R262" s="65"/>
      <c r="S262" s="65"/>
      <c r="T262" s="65"/>
      <c r="U262" s="65"/>
      <c r="V262" s="65"/>
      <c r="W262" s="65"/>
      <c r="X262" s="65"/>
      <c r="Y262" s="65"/>
      <c r="Z262" s="65"/>
    </row>
    <row r="263" spans="1:26" x14ac:dyDescent="0.25">
      <c r="A263" s="101" t="s">
        <v>242</v>
      </c>
      <c r="B263" s="101"/>
      <c r="C263" s="13"/>
      <c r="D263" s="13"/>
      <c r="E263" s="13"/>
      <c r="F263" s="14"/>
      <c r="G263" s="11"/>
      <c r="H263" s="13"/>
      <c r="I263" s="13"/>
      <c r="J263" s="13"/>
      <c r="K263" s="13"/>
      <c r="L263" s="18"/>
      <c r="M263" s="15"/>
      <c r="N263" s="15"/>
      <c r="O263" s="16"/>
      <c r="P263" s="17"/>
      <c r="Q263" s="17"/>
      <c r="R263" s="17"/>
      <c r="S263" s="17"/>
      <c r="T263" s="17"/>
      <c r="U263" s="17"/>
      <c r="V263" s="17"/>
      <c r="W263" s="17"/>
      <c r="X263" s="17"/>
      <c r="Y263" s="17"/>
      <c r="Z263" s="17"/>
    </row>
    <row r="264" spans="1:26" ht="172.5" customHeight="1" x14ac:dyDescent="0.25">
      <c r="A264" s="13">
        <v>1</v>
      </c>
      <c r="B264" s="12" t="s">
        <v>45</v>
      </c>
      <c r="C264" s="14" t="s">
        <v>26</v>
      </c>
      <c r="D264" s="14" t="s">
        <v>27</v>
      </c>
      <c r="E264" s="11" t="s">
        <v>20</v>
      </c>
      <c r="F264" s="14" t="s">
        <v>42</v>
      </c>
      <c r="G264" s="11" t="s">
        <v>482</v>
      </c>
      <c r="H264" s="11" t="s">
        <v>523</v>
      </c>
      <c r="I264" s="11" t="s">
        <v>25</v>
      </c>
      <c r="J264" s="11"/>
      <c r="K264" s="15"/>
      <c r="L264" s="18"/>
      <c r="M264" s="15">
        <f>996000+300000+125000+143000+2076000+171360+80000+757200+155840+576000+1416000+117000+278000+2824800+454536+4100000</f>
        <v>14570736</v>
      </c>
      <c r="N264" s="15">
        <f>M264*1.12</f>
        <v>16319224.320000002</v>
      </c>
      <c r="O264" s="16" t="s">
        <v>32</v>
      </c>
      <c r="P264" s="69"/>
      <c r="Q264" s="17"/>
      <c r="R264" s="17"/>
      <c r="S264" s="17"/>
      <c r="T264" s="17"/>
      <c r="U264" s="17"/>
      <c r="V264" s="17"/>
      <c r="W264" s="17"/>
      <c r="X264" s="17"/>
      <c r="Y264" s="17"/>
      <c r="Z264" s="17"/>
    </row>
    <row r="265" spans="1:26" ht="96" customHeight="1" x14ac:dyDescent="0.25">
      <c r="A265" s="13">
        <v>2</v>
      </c>
      <c r="B265" s="12" t="s">
        <v>45</v>
      </c>
      <c r="C265" s="14" t="s">
        <v>190</v>
      </c>
      <c r="D265" s="14" t="s">
        <v>191</v>
      </c>
      <c r="E265" s="11" t="s">
        <v>20</v>
      </c>
      <c r="F265" s="14" t="s">
        <v>42</v>
      </c>
      <c r="G265" s="11" t="s">
        <v>482</v>
      </c>
      <c r="H265" s="14" t="s">
        <v>409</v>
      </c>
      <c r="I265" s="11" t="s">
        <v>25</v>
      </c>
      <c r="J265" s="13"/>
      <c r="K265" s="11"/>
      <c r="L265" s="13"/>
      <c r="M265" s="36">
        <f>157000+61800</f>
        <v>218800</v>
      </c>
      <c r="N265" s="27">
        <f>M265*1.12</f>
        <v>245056.00000000003</v>
      </c>
      <c r="O265" s="13" t="s">
        <v>32</v>
      </c>
      <c r="P265" s="69"/>
      <c r="Q265" s="17"/>
      <c r="R265" s="17"/>
      <c r="S265" s="17"/>
      <c r="T265" s="17"/>
      <c r="U265" s="17"/>
      <c r="V265" s="17"/>
      <c r="W265" s="17"/>
      <c r="X265" s="17"/>
      <c r="Y265" s="17"/>
      <c r="Z265" s="17"/>
    </row>
    <row r="266" spans="1:26" ht="158.25" customHeight="1" x14ac:dyDescent="0.25">
      <c r="A266" s="13">
        <v>3</v>
      </c>
      <c r="B266" s="12" t="s">
        <v>45</v>
      </c>
      <c r="C266" s="70" t="s">
        <v>33</v>
      </c>
      <c r="D266" s="71" t="s">
        <v>33</v>
      </c>
      <c r="E266" s="11" t="s">
        <v>20</v>
      </c>
      <c r="F266" s="14" t="s">
        <v>42</v>
      </c>
      <c r="G266" s="11" t="s">
        <v>482</v>
      </c>
      <c r="H266" s="11" t="s">
        <v>490</v>
      </c>
      <c r="I266" s="11" t="s">
        <v>41</v>
      </c>
      <c r="J266" s="11"/>
      <c r="K266" s="26"/>
      <c r="L266" s="11"/>
      <c r="M266" s="16">
        <f>588240+126000+62000+246468+150000+200035.86+189000+187000+368000+416000+164413.2+2725020.717+1207224+2640000+52554</f>
        <v>9321955.7770000007</v>
      </c>
      <c r="N266" s="16">
        <f>M266*1.12</f>
        <v>10440590.470240002</v>
      </c>
      <c r="O266" s="16" t="s">
        <v>32</v>
      </c>
      <c r="P266" s="69"/>
      <c r="Q266" s="17"/>
      <c r="R266" s="17"/>
      <c r="S266" s="17"/>
      <c r="T266" s="17"/>
      <c r="U266" s="17"/>
      <c r="V266" s="17"/>
      <c r="W266" s="17"/>
      <c r="X266" s="17"/>
      <c r="Y266" s="17"/>
      <c r="Z266" s="17"/>
    </row>
    <row r="267" spans="1:26" ht="108" customHeight="1" x14ac:dyDescent="0.25">
      <c r="A267" s="13">
        <v>4</v>
      </c>
      <c r="B267" s="12" t="s">
        <v>45</v>
      </c>
      <c r="C267" s="72" t="s">
        <v>34</v>
      </c>
      <c r="D267" s="72" t="s">
        <v>35</v>
      </c>
      <c r="E267" s="11" t="s">
        <v>20</v>
      </c>
      <c r="F267" s="14" t="s">
        <v>42</v>
      </c>
      <c r="G267" s="11" t="s">
        <v>482</v>
      </c>
      <c r="H267" s="11" t="s">
        <v>413</v>
      </c>
      <c r="I267" s="11" t="s">
        <v>41</v>
      </c>
      <c r="J267" s="11"/>
      <c r="K267" s="11"/>
      <c r="L267" s="26"/>
      <c r="M267" s="16">
        <f>727000+664000+340000+398319+1890000</f>
        <v>4019319</v>
      </c>
      <c r="N267" s="16">
        <f>M267*1.12</f>
        <v>4501637.28</v>
      </c>
      <c r="O267" s="73" t="s">
        <v>32</v>
      </c>
      <c r="P267" s="74"/>
      <c r="Q267" s="74"/>
      <c r="R267" s="74"/>
      <c r="S267" s="74"/>
      <c r="T267" s="17"/>
      <c r="U267" s="75"/>
      <c r="V267" s="76"/>
      <c r="W267" s="76"/>
      <c r="X267" s="76"/>
      <c r="Y267" s="76"/>
      <c r="Z267" s="17"/>
    </row>
    <row r="268" spans="1:26" ht="215.25" customHeight="1" x14ac:dyDescent="0.25">
      <c r="A268" s="13">
        <v>5</v>
      </c>
      <c r="B268" s="12" t="s">
        <v>45</v>
      </c>
      <c r="C268" s="71" t="s">
        <v>36</v>
      </c>
      <c r="D268" s="71" t="s">
        <v>37</v>
      </c>
      <c r="E268" s="11" t="s">
        <v>20</v>
      </c>
      <c r="F268" s="14" t="s">
        <v>42</v>
      </c>
      <c r="G268" s="11" t="s">
        <v>482</v>
      </c>
      <c r="H268" s="11" t="s">
        <v>414</v>
      </c>
      <c r="I268" s="11" t="s">
        <v>41</v>
      </c>
      <c r="J268" s="11"/>
      <c r="K268" s="11"/>
      <c r="L268" s="26"/>
      <c r="M268" s="16">
        <f>202800+829000+659000+218528.2+848000+280398+132000+398280+267480+460000+960000+248000+540000+207000+1555478+852319+895800</f>
        <v>9554083.1999999993</v>
      </c>
      <c r="N268" s="15">
        <f>M268*1.12</f>
        <v>10700573.184</v>
      </c>
      <c r="O268" s="16" t="s">
        <v>32</v>
      </c>
      <c r="P268" s="69"/>
    </row>
    <row r="269" spans="1:26" ht="63" x14ac:dyDescent="0.25">
      <c r="A269" s="13">
        <v>6</v>
      </c>
      <c r="B269" s="12" t="s">
        <v>45</v>
      </c>
      <c r="C269" s="14" t="s">
        <v>243</v>
      </c>
      <c r="D269" s="14" t="s">
        <v>243</v>
      </c>
      <c r="E269" s="11" t="s">
        <v>20</v>
      </c>
      <c r="F269" s="14" t="s">
        <v>42</v>
      </c>
      <c r="G269" s="11" t="s">
        <v>482</v>
      </c>
      <c r="H269" s="11" t="s">
        <v>501</v>
      </c>
      <c r="I269" s="11" t="s">
        <v>41</v>
      </c>
      <c r="J269" s="13"/>
      <c r="K269" s="13"/>
      <c r="L269" s="18"/>
      <c r="M269" s="26">
        <v>2302000</v>
      </c>
      <c r="N269" s="16">
        <v>2578240</v>
      </c>
      <c r="O269" s="16" t="s">
        <v>32</v>
      </c>
      <c r="P269" s="69"/>
    </row>
    <row r="270" spans="1:26" ht="63" x14ac:dyDescent="0.25">
      <c r="A270" s="13">
        <v>7</v>
      </c>
      <c r="B270" s="12" t="s">
        <v>45</v>
      </c>
      <c r="C270" s="14" t="s">
        <v>244</v>
      </c>
      <c r="D270" s="14" t="s">
        <v>244</v>
      </c>
      <c r="E270" s="11" t="s">
        <v>20</v>
      </c>
      <c r="F270" s="14" t="s">
        <v>42</v>
      </c>
      <c r="G270" s="11" t="s">
        <v>482</v>
      </c>
      <c r="H270" s="11" t="s">
        <v>501</v>
      </c>
      <c r="I270" s="11" t="s">
        <v>41</v>
      </c>
      <c r="J270" s="13"/>
      <c r="K270" s="13"/>
      <c r="L270" s="18"/>
      <c r="M270" s="26">
        <v>2500000</v>
      </c>
      <c r="N270" s="16">
        <v>2800000</v>
      </c>
      <c r="O270" s="16" t="s">
        <v>32</v>
      </c>
      <c r="P270" s="69"/>
    </row>
    <row r="271" spans="1:26" ht="143.25" customHeight="1" x14ac:dyDescent="0.25">
      <c r="A271" s="13">
        <v>8</v>
      </c>
      <c r="B271" s="12" t="s">
        <v>45</v>
      </c>
      <c r="C271" s="14" t="s">
        <v>38</v>
      </c>
      <c r="D271" s="14" t="s">
        <v>38</v>
      </c>
      <c r="E271" s="11" t="s">
        <v>20</v>
      </c>
      <c r="F271" s="14" t="s">
        <v>42</v>
      </c>
      <c r="G271" s="11" t="s">
        <v>482</v>
      </c>
      <c r="H271" s="11" t="s">
        <v>410</v>
      </c>
      <c r="I271" s="11" t="s">
        <v>41</v>
      </c>
      <c r="J271" s="13"/>
      <c r="K271" s="13"/>
      <c r="L271" s="18"/>
      <c r="M271" s="15">
        <f>30000+64000+100000+240000+104304+35705.51+48000+100000+35400</f>
        <v>757409.51</v>
      </c>
      <c r="N271" s="15">
        <f>M271*1.12</f>
        <v>848298.65120000008</v>
      </c>
      <c r="O271" s="16" t="s">
        <v>32</v>
      </c>
      <c r="P271" s="69"/>
    </row>
    <row r="272" spans="1:26" ht="99.75" customHeight="1" x14ac:dyDescent="0.25">
      <c r="A272" s="13">
        <v>9</v>
      </c>
      <c r="B272" s="12" t="s">
        <v>45</v>
      </c>
      <c r="C272" s="71" t="s">
        <v>46</v>
      </c>
      <c r="D272" s="71" t="s">
        <v>47</v>
      </c>
      <c r="E272" s="11" t="s">
        <v>20</v>
      </c>
      <c r="F272" s="14" t="s">
        <v>42</v>
      </c>
      <c r="G272" s="11" t="s">
        <v>482</v>
      </c>
      <c r="H272" s="11" t="s">
        <v>528</v>
      </c>
      <c r="I272" s="11" t="s">
        <v>41</v>
      </c>
      <c r="J272" s="13"/>
      <c r="K272" s="13"/>
      <c r="L272" s="18"/>
      <c r="M272" s="15">
        <f>480000</f>
        <v>480000</v>
      </c>
      <c r="N272" s="15">
        <f>M272*1.12</f>
        <v>537600</v>
      </c>
      <c r="O272" s="16" t="s">
        <v>32</v>
      </c>
      <c r="P272" s="69"/>
    </row>
    <row r="273" spans="1:16" ht="126" customHeight="1" x14ac:dyDescent="0.25">
      <c r="A273" s="13">
        <v>10</v>
      </c>
      <c r="B273" s="12" t="s">
        <v>45</v>
      </c>
      <c r="C273" s="71" t="s">
        <v>50</v>
      </c>
      <c r="D273" s="71" t="s">
        <v>50</v>
      </c>
      <c r="E273" s="11" t="s">
        <v>20</v>
      </c>
      <c r="F273" s="14" t="s">
        <v>42</v>
      </c>
      <c r="G273" s="11" t="s">
        <v>482</v>
      </c>
      <c r="H273" s="11" t="s">
        <v>411</v>
      </c>
      <c r="I273" s="11" t="s">
        <v>41</v>
      </c>
      <c r="J273" s="13"/>
      <c r="K273" s="13"/>
      <c r="L273" s="18"/>
      <c r="M273" s="16">
        <f>254000+92000+100000+60000+72000+154500+98571.43+71000+240000+96360</f>
        <v>1238431.43</v>
      </c>
      <c r="N273" s="15">
        <f>M273*1.12</f>
        <v>1387043.2016</v>
      </c>
      <c r="O273" s="16" t="s">
        <v>32</v>
      </c>
      <c r="P273" s="69"/>
    </row>
    <row r="274" spans="1:16" ht="164.25" customHeight="1" x14ac:dyDescent="0.25">
      <c r="A274" s="13">
        <v>11</v>
      </c>
      <c r="B274" s="12" t="s">
        <v>45</v>
      </c>
      <c r="C274" s="14" t="s">
        <v>51</v>
      </c>
      <c r="D274" s="14" t="s">
        <v>52</v>
      </c>
      <c r="E274" s="11" t="s">
        <v>20</v>
      </c>
      <c r="F274" s="14" t="s">
        <v>42</v>
      </c>
      <c r="G274" s="11" t="s">
        <v>482</v>
      </c>
      <c r="H274" s="11" t="s">
        <v>415</v>
      </c>
      <c r="I274" s="11" t="s">
        <v>41</v>
      </c>
      <c r="J274" s="13"/>
      <c r="K274" s="13"/>
      <c r="L274" s="18"/>
      <c r="M274" s="15">
        <f>118607.14+87000+64000+303355.2+660000+65141+43631+7200+1588000+95000+98000+10137368.47+752960+2896180</f>
        <v>16916442.810000002</v>
      </c>
      <c r="N274" s="15">
        <f>M274*1.12</f>
        <v>18946415.947200004</v>
      </c>
      <c r="O274" s="16" t="s">
        <v>32</v>
      </c>
      <c r="P274" s="69"/>
    </row>
    <row r="275" spans="1:16" ht="106.5" customHeight="1" x14ac:dyDescent="0.25">
      <c r="A275" s="13">
        <v>12</v>
      </c>
      <c r="B275" s="12" t="s">
        <v>45</v>
      </c>
      <c r="C275" s="14" t="s">
        <v>53</v>
      </c>
      <c r="D275" s="14" t="s">
        <v>54</v>
      </c>
      <c r="E275" s="11" t="s">
        <v>20</v>
      </c>
      <c r="F275" s="14" t="s">
        <v>42</v>
      </c>
      <c r="G275" s="11" t="s">
        <v>482</v>
      </c>
      <c r="H275" s="11" t="s">
        <v>412</v>
      </c>
      <c r="I275" s="11" t="s">
        <v>41</v>
      </c>
      <c r="J275" s="13"/>
      <c r="K275" s="13"/>
      <c r="L275" s="18"/>
      <c r="M275" s="15">
        <f>39582.14+36000+285000</f>
        <v>360582.14</v>
      </c>
      <c r="N275" s="15">
        <f>M275*1.12</f>
        <v>403851.99680000008</v>
      </c>
      <c r="O275" s="16" t="s">
        <v>32</v>
      </c>
      <c r="P275" s="69"/>
    </row>
    <row r="276" spans="1:16" ht="113.25" customHeight="1" x14ac:dyDescent="0.25">
      <c r="A276" s="13">
        <v>13</v>
      </c>
      <c r="B276" s="12" t="s">
        <v>45</v>
      </c>
      <c r="C276" s="14" t="s">
        <v>55</v>
      </c>
      <c r="D276" s="14" t="s">
        <v>56</v>
      </c>
      <c r="E276" s="13" t="s">
        <v>24</v>
      </c>
      <c r="F276" s="14" t="s">
        <v>42</v>
      </c>
      <c r="G276" s="11" t="s">
        <v>482</v>
      </c>
      <c r="H276" s="11" t="s">
        <v>494</v>
      </c>
      <c r="I276" s="11" t="s">
        <v>41</v>
      </c>
      <c r="J276" s="13"/>
      <c r="K276" s="13"/>
      <c r="L276" s="18"/>
      <c r="M276" s="15">
        <v>11720000</v>
      </c>
      <c r="N276" s="67">
        <v>13126400</v>
      </c>
      <c r="O276" s="16" t="s">
        <v>32</v>
      </c>
      <c r="P276" s="69"/>
    </row>
    <row r="277" spans="1:16" ht="103.5" customHeight="1" x14ac:dyDescent="0.25">
      <c r="A277" s="13">
        <v>14</v>
      </c>
      <c r="B277" s="12" t="s">
        <v>45</v>
      </c>
      <c r="C277" s="14" t="s">
        <v>58</v>
      </c>
      <c r="D277" s="14" t="s">
        <v>57</v>
      </c>
      <c r="E277" s="11" t="s">
        <v>20</v>
      </c>
      <c r="F277" s="14" t="s">
        <v>42</v>
      </c>
      <c r="G277" s="11" t="s">
        <v>482</v>
      </c>
      <c r="H277" s="14" t="s">
        <v>59</v>
      </c>
      <c r="I277" s="11" t="s">
        <v>41</v>
      </c>
      <c r="J277" s="13"/>
      <c r="K277" s="13"/>
      <c r="L277" s="18"/>
      <c r="M277" s="15">
        <v>3000000</v>
      </c>
      <c r="N277" s="67">
        <v>3000000</v>
      </c>
      <c r="O277" s="16" t="s">
        <v>32</v>
      </c>
      <c r="P277" s="69"/>
    </row>
    <row r="278" spans="1:16" ht="104.25" customHeight="1" x14ac:dyDescent="0.25">
      <c r="A278" s="13">
        <v>15</v>
      </c>
      <c r="B278" s="12" t="s">
        <v>45</v>
      </c>
      <c r="C278" s="14" t="s">
        <v>60</v>
      </c>
      <c r="D278" s="14" t="s">
        <v>61</v>
      </c>
      <c r="E278" s="11" t="s">
        <v>20</v>
      </c>
      <c r="F278" s="14" t="s">
        <v>42</v>
      </c>
      <c r="G278" s="11" t="s">
        <v>482</v>
      </c>
      <c r="H278" s="11" t="s">
        <v>501</v>
      </c>
      <c r="I278" s="11" t="s">
        <v>70</v>
      </c>
      <c r="J278" s="13"/>
      <c r="K278" s="13"/>
      <c r="L278" s="18"/>
      <c r="M278" s="15">
        <v>1500000</v>
      </c>
      <c r="N278" s="67">
        <f>M278*1.12</f>
        <v>1680000.0000000002</v>
      </c>
      <c r="O278" s="16" t="s">
        <v>32</v>
      </c>
      <c r="P278" s="69"/>
    </row>
    <row r="279" spans="1:16" ht="86.25" customHeight="1" x14ac:dyDescent="0.25">
      <c r="A279" s="13">
        <v>16</v>
      </c>
      <c r="B279" s="12" t="s">
        <v>45</v>
      </c>
      <c r="C279" s="13" t="s">
        <v>65</v>
      </c>
      <c r="D279" s="13" t="s">
        <v>66</v>
      </c>
      <c r="E279" s="13" t="s">
        <v>24</v>
      </c>
      <c r="F279" s="14" t="s">
        <v>42</v>
      </c>
      <c r="G279" s="11" t="s">
        <v>482</v>
      </c>
      <c r="H279" s="11" t="s">
        <v>501</v>
      </c>
      <c r="I279" s="11" t="s">
        <v>67</v>
      </c>
      <c r="J279" s="13"/>
      <c r="K279" s="13"/>
      <c r="L279" s="18"/>
      <c r="M279" s="15">
        <v>11606000</v>
      </c>
      <c r="N279" s="67">
        <f>M279*1.12</f>
        <v>12998720.000000002</v>
      </c>
      <c r="O279" s="16" t="s">
        <v>32</v>
      </c>
      <c r="P279" s="69"/>
    </row>
    <row r="280" spans="1:16" ht="86.25" customHeight="1" x14ac:dyDescent="0.25">
      <c r="A280" s="13">
        <v>17</v>
      </c>
      <c r="B280" s="12" t="s">
        <v>45</v>
      </c>
      <c r="C280" s="13" t="s">
        <v>80</v>
      </c>
      <c r="D280" s="13" t="s">
        <v>81</v>
      </c>
      <c r="E280" s="11" t="s">
        <v>20</v>
      </c>
      <c r="F280" s="14" t="s">
        <v>42</v>
      </c>
      <c r="G280" s="11" t="s">
        <v>482</v>
      </c>
      <c r="H280" s="11" t="s">
        <v>501</v>
      </c>
      <c r="I280" s="11" t="s">
        <v>41</v>
      </c>
      <c r="J280" s="13"/>
      <c r="K280" s="15"/>
      <c r="L280" s="26"/>
      <c r="M280" s="15">
        <v>1000000</v>
      </c>
      <c r="N280" s="16">
        <f>M280*1.12</f>
        <v>1120000</v>
      </c>
      <c r="O280" s="16" t="s">
        <v>32</v>
      </c>
      <c r="P280" s="69"/>
    </row>
    <row r="281" spans="1:16" ht="86.25" customHeight="1" x14ac:dyDescent="0.25">
      <c r="A281" s="13">
        <v>18</v>
      </c>
      <c r="B281" s="12" t="s">
        <v>45</v>
      </c>
      <c r="C281" s="11" t="s">
        <v>82</v>
      </c>
      <c r="D281" s="11" t="s">
        <v>83</v>
      </c>
      <c r="E281" s="11" t="s">
        <v>20</v>
      </c>
      <c r="F281" s="14" t="s">
        <v>42</v>
      </c>
      <c r="G281" s="11" t="s">
        <v>482</v>
      </c>
      <c r="H281" s="11" t="s">
        <v>501</v>
      </c>
      <c r="I281" s="11" t="s">
        <v>41</v>
      </c>
      <c r="J281" s="14"/>
      <c r="K281" s="77"/>
      <c r="L281" s="78"/>
      <c r="M281" s="16">
        <v>2400000</v>
      </c>
      <c r="N281" s="16">
        <f t="shared" ref="N281:N292" si="74">M281*1.12</f>
        <v>2688000.0000000005</v>
      </c>
      <c r="O281" s="16" t="s">
        <v>32</v>
      </c>
      <c r="P281" s="69"/>
    </row>
    <row r="282" spans="1:16" ht="200.25" customHeight="1" x14ac:dyDescent="0.25">
      <c r="A282" s="13">
        <v>19</v>
      </c>
      <c r="B282" s="12" t="s">
        <v>45</v>
      </c>
      <c r="C282" s="71" t="s">
        <v>85</v>
      </c>
      <c r="D282" s="14" t="s">
        <v>91</v>
      </c>
      <c r="E282" s="11" t="s">
        <v>24</v>
      </c>
      <c r="F282" s="14" t="s">
        <v>42</v>
      </c>
      <c r="G282" s="11" t="s">
        <v>482</v>
      </c>
      <c r="H282" s="11" t="s">
        <v>98</v>
      </c>
      <c r="I282" s="11" t="s">
        <v>41</v>
      </c>
      <c r="J282" s="14"/>
      <c r="K282" s="77"/>
      <c r="L282" s="78"/>
      <c r="M282" s="16">
        <v>28654000</v>
      </c>
      <c r="N282" s="50">
        <f t="shared" si="74"/>
        <v>32092480.000000004</v>
      </c>
      <c r="O282" s="16" t="s">
        <v>32</v>
      </c>
      <c r="P282" s="69"/>
    </row>
    <row r="283" spans="1:16" ht="86.25" customHeight="1" x14ac:dyDescent="0.25">
      <c r="A283" s="13">
        <v>20</v>
      </c>
      <c r="B283" s="12" t="s">
        <v>45</v>
      </c>
      <c r="C283" s="71" t="s">
        <v>85</v>
      </c>
      <c r="D283" s="14" t="s">
        <v>92</v>
      </c>
      <c r="E283" s="11" t="s">
        <v>20</v>
      </c>
      <c r="F283" s="14" t="s">
        <v>42</v>
      </c>
      <c r="G283" s="11" t="s">
        <v>482</v>
      </c>
      <c r="H283" s="11" t="s">
        <v>501</v>
      </c>
      <c r="I283" s="11" t="s">
        <v>41</v>
      </c>
      <c r="J283" s="14"/>
      <c r="K283" s="77"/>
      <c r="L283" s="78"/>
      <c r="M283" s="16">
        <v>15000000</v>
      </c>
      <c r="N283" s="50">
        <f t="shared" si="74"/>
        <v>16800000</v>
      </c>
      <c r="O283" s="16" t="s">
        <v>32</v>
      </c>
      <c r="P283" s="69"/>
    </row>
    <row r="284" spans="1:16" ht="86.25" customHeight="1" x14ac:dyDescent="0.25">
      <c r="A284" s="13">
        <v>21</v>
      </c>
      <c r="B284" s="12" t="s">
        <v>45</v>
      </c>
      <c r="C284" s="71" t="s">
        <v>461</v>
      </c>
      <c r="D284" s="14" t="s">
        <v>462</v>
      </c>
      <c r="E284" s="11" t="s">
        <v>20</v>
      </c>
      <c r="F284" s="14" t="s">
        <v>42</v>
      </c>
      <c r="G284" s="11" t="s">
        <v>482</v>
      </c>
      <c r="H284" s="11" t="s">
        <v>501</v>
      </c>
      <c r="I284" s="11" t="s">
        <v>41</v>
      </c>
      <c r="J284" s="14"/>
      <c r="K284" s="77"/>
      <c r="L284" s="78"/>
      <c r="M284" s="16">
        <v>2140000</v>
      </c>
      <c r="N284" s="50">
        <f t="shared" si="74"/>
        <v>2396800</v>
      </c>
      <c r="O284" s="16" t="s">
        <v>32</v>
      </c>
      <c r="P284" s="69"/>
    </row>
    <row r="285" spans="1:16" ht="86.25" customHeight="1" x14ac:dyDescent="0.25">
      <c r="A285" s="13">
        <v>22</v>
      </c>
      <c r="B285" s="12" t="s">
        <v>45</v>
      </c>
      <c r="C285" s="71" t="s">
        <v>461</v>
      </c>
      <c r="D285" s="14" t="s">
        <v>463</v>
      </c>
      <c r="E285" s="11" t="s">
        <v>20</v>
      </c>
      <c r="F285" s="14" t="s">
        <v>42</v>
      </c>
      <c r="G285" s="11" t="s">
        <v>482</v>
      </c>
      <c r="H285" s="11" t="s">
        <v>501</v>
      </c>
      <c r="I285" s="11" t="s">
        <v>41</v>
      </c>
      <c r="J285" s="14"/>
      <c r="K285" s="77"/>
      <c r="L285" s="78"/>
      <c r="M285" s="16">
        <v>1350000</v>
      </c>
      <c r="N285" s="50">
        <f t="shared" ref="N285" si="75">M285*1.12</f>
        <v>1512000.0000000002</v>
      </c>
      <c r="O285" s="16" t="s">
        <v>32</v>
      </c>
      <c r="P285" s="69"/>
    </row>
    <row r="286" spans="1:16" ht="287.25" customHeight="1" x14ac:dyDescent="0.25">
      <c r="A286" s="13">
        <v>23</v>
      </c>
      <c r="B286" s="12" t="s">
        <v>45</v>
      </c>
      <c r="C286" s="71" t="s">
        <v>288</v>
      </c>
      <c r="D286" s="14" t="s">
        <v>329</v>
      </c>
      <c r="E286" s="11" t="s">
        <v>20</v>
      </c>
      <c r="F286" s="14" t="s">
        <v>42</v>
      </c>
      <c r="G286" s="11" t="s">
        <v>482</v>
      </c>
      <c r="H286" s="11" t="s">
        <v>501</v>
      </c>
      <c r="I286" s="11" t="s">
        <v>41</v>
      </c>
      <c r="J286" s="14"/>
      <c r="K286" s="77"/>
      <c r="L286" s="78"/>
      <c r="M286" s="16">
        <v>13300000</v>
      </c>
      <c r="N286" s="50">
        <f t="shared" si="74"/>
        <v>14896000.000000002</v>
      </c>
      <c r="O286" s="16" t="s">
        <v>32</v>
      </c>
      <c r="P286" s="69"/>
    </row>
    <row r="287" spans="1:16" ht="86.25" customHeight="1" x14ac:dyDescent="0.25">
      <c r="A287" s="13">
        <v>24</v>
      </c>
      <c r="B287" s="12" t="s">
        <v>45</v>
      </c>
      <c r="C287" s="71" t="s">
        <v>85</v>
      </c>
      <c r="D287" s="14" t="s">
        <v>93</v>
      </c>
      <c r="E287" s="11" t="s">
        <v>20</v>
      </c>
      <c r="F287" s="14" t="s">
        <v>42</v>
      </c>
      <c r="G287" s="11" t="s">
        <v>482</v>
      </c>
      <c r="H287" s="11" t="s">
        <v>501</v>
      </c>
      <c r="I287" s="11" t="s">
        <v>41</v>
      </c>
      <c r="J287" s="14"/>
      <c r="K287" s="77"/>
      <c r="L287" s="78"/>
      <c r="M287" s="79">
        <v>3325000</v>
      </c>
      <c r="N287" s="50">
        <f t="shared" si="74"/>
        <v>3724000.0000000005</v>
      </c>
      <c r="O287" s="16" t="s">
        <v>32</v>
      </c>
      <c r="P287" s="69"/>
    </row>
    <row r="288" spans="1:16" ht="86.25" customHeight="1" x14ac:dyDescent="0.25">
      <c r="A288" s="13">
        <v>25</v>
      </c>
      <c r="B288" s="12" t="s">
        <v>45</v>
      </c>
      <c r="C288" s="11" t="s">
        <v>86</v>
      </c>
      <c r="D288" s="14" t="s">
        <v>94</v>
      </c>
      <c r="E288" s="11" t="s">
        <v>20</v>
      </c>
      <c r="F288" s="14" t="s">
        <v>42</v>
      </c>
      <c r="G288" s="11" t="s">
        <v>482</v>
      </c>
      <c r="H288" s="11" t="s">
        <v>501</v>
      </c>
      <c r="I288" s="24" t="s">
        <v>84</v>
      </c>
      <c r="J288" s="14"/>
      <c r="K288" s="77"/>
      <c r="L288" s="78"/>
      <c r="M288" s="79">
        <v>5982142.8600000003</v>
      </c>
      <c r="N288" s="50">
        <f t="shared" si="74"/>
        <v>6700000.0032000011</v>
      </c>
      <c r="O288" s="16" t="s">
        <v>32</v>
      </c>
      <c r="P288" s="69"/>
    </row>
    <row r="289" spans="1:16" ht="86.25" customHeight="1" x14ac:dyDescent="0.25">
      <c r="A289" s="13">
        <v>26</v>
      </c>
      <c r="B289" s="12" t="s">
        <v>45</v>
      </c>
      <c r="C289" s="11" t="s">
        <v>87</v>
      </c>
      <c r="D289" s="14" t="s">
        <v>95</v>
      </c>
      <c r="E289" s="11" t="s">
        <v>20</v>
      </c>
      <c r="F289" s="14" t="s">
        <v>42</v>
      </c>
      <c r="G289" s="11" t="s">
        <v>482</v>
      </c>
      <c r="H289" s="24" t="s">
        <v>99</v>
      </c>
      <c r="I289" s="24" t="s">
        <v>84</v>
      </c>
      <c r="J289" s="14"/>
      <c r="K289" s="77"/>
      <c r="L289" s="78"/>
      <c r="M289" s="79">
        <v>8899408</v>
      </c>
      <c r="N289" s="50">
        <f t="shared" si="74"/>
        <v>9967336.9600000009</v>
      </c>
      <c r="O289" s="16" t="s">
        <v>32</v>
      </c>
      <c r="P289" s="69"/>
    </row>
    <row r="290" spans="1:16" ht="86.25" customHeight="1" x14ac:dyDescent="0.25">
      <c r="A290" s="13">
        <v>27</v>
      </c>
      <c r="B290" s="12" t="s">
        <v>45</v>
      </c>
      <c r="C290" s="11" t="s">
        <v>88</v>
      </c>
      <c r="D290" s="14" t="s">
        <v>96</v>
      </c>
      <c r="E290" s="11" t="s">
        <v>20</v>
      </c>
      <c r="F290" s="14" t="s">
        <v>42</v>
      </c>
      <c r="G290" s="11" t="s">
        <v>482</v>
      </c>
      <c r="H290" s="11" t="s">
        <v>501</v>
      </c>
      <c r="I290" s="24" t="s">
        <v>84</v>
      </c>
      <c r="J290" s="14"/>
      <c r="K290" s="77"/>
      <c r="L290" s="78"/>
      <c r="M290" s="16">
        <v>336000</v>
      </c>
      <c r="N290" s="50">
        <f t="shared" si="74"/>
        <v>376320.00000000006</v>
      </c>
      <c r="O290" s="16" t="s">
        <v>32</v>
      </c>
      <c r="P290" s="69"/>
    </row>
    <row r="291" spans="1:16" ht="86.25" customHeight="1" x14ac:dyDescent="0.25">
      <c r="A291" s="13">
        <v>28</v>
      </c>
      <c r="B291" s="12" t="s">
        <v>45</v>
      </c>
      <c r="C291" s="11" t="s">
        <v>89</v>
      </c>
      <c r="D291" s="14" t="s">
        <v>79</v>
      </c>
      <c r="E291" s="11" t="s">
        <v>20</v>
      </c>
      <c r="F291" s="14" t="s">
        <v>42</v>
      </c>
      <c r="G291" s="11" t="s">
        <v>482</v>
      </c>
      <c r="H291" s="11" t="s">
        <v>501</v>
      </c>
      <c r="I291" s="24" t="s">
        <v>84</v>
      </c>
      <c r="J291" s="14"/>
      <c r="K291" s="77"/>
      <c r="L291" s="78"/>
      <c r="M291" s="16">
        <v>446428</v>
      </c>
      <c r="N291" s="50">
        <f t="shared" si="74"/>
        <v>499999.36000000004</v>
      </c>
      <c r="O291" s="16" t="s">
        <v>32</v>
      </c>
      <c r="P291" s="69"/>
    </row>
    <row r="292" spans="1:16" ht="86.25" customHeight="1" x14ac:dyDescent="0.25">
      <c r="A292" s="13">
        <v>29</v>
      </c>
      <c r="B292" s="12" t="s">
        <v>45</v>
      </c>
      <c r="C292" s="11" t="s">
        <v>90</v>
      </c>
      <c r="D292" s="14" t="s">
        <v>97</v>
      </c>
      <c r="E292" s="11" t="s">
        <v>20</v>
      </c>
      <c r="F292" s="14" t="s">
        <v>42</v>
      </c>
      <c r="G292" s="11" t="s">
        <v>482</v>
      </c>
      <c r="H292" s="11" t="s">
        <v>501</v>
      </c>
      <c r="I292" s="24" t="s">
        <v>84</v>
      </c>
      <c r="J292" s="14"/>
      <c r="K292" s="77"/>
      <c r="L292" s="78"/>
      <c r="M292" s="16">
        <v>32462021.140000001</v>
      </c>
      <c r="N292" s="50">
        <f t="shared" si="74"/>
        <v>36357463.676800005</v>
      </c>
      <c r="O292" s="16" t="s">
        <v>32</v>
      </c>
      <c r="P292" s="69"/>
    </row>
    <row r="293" spans="1:16" ht="86.25" customHeight="1" x14ac:dyDescent="0.25">
      <c r="A293" s="13">
        <v>30</v>
      </c>
      <c r="B293" s="12" t="s">
        <v>45</v>
      </c>
      <c r="C293" s="71" t="s">
        <v>129</v>
      </c>
      <c r="D293" s="71" t="s">
        <v>130</v>
      </c>
      <c r="E293" s="11" t="s">
        <v>20</v>
      </c>
      <c r="F293" s="14" t="s">
        <v>42</v>
      </c>
      <c r="G293" s="11" t="s">
        <v>482</v>
      </c>
      <c r="H293" s="11" t="s">
        <v>496</v>
      </c>
      <c r="I293" s="11" t="s">
        <v>41</v>
      </c>
      <c r="J293" s="13"/>
      <c r="K293" s="13"/>
      <c r="L293" s="15"/>
      <c r="M293" s="15">
        <v>154000</v>
      </c>
      <c r="N293" s="15">
        <f t="shared" ref="N293:N300" si="76">M293*1.12</f>
        <v>172480.00000000003</v>
      </c>
      <c r="O293" s="16" t="s">
        <v>32</v>
      </c>
      <c r="P293" s="69"/>
    </row>
    <row r="294" spans="1:16" ht="86.25" customHeight="1" x14ac:dyDescent="0.25">
      <c r="A294" s="13">
        <v>31</v>
      </c>
      <c r="B294" s="12" t="s">
        <v>45</v>
      </c>
      <c r="C294" s="14" t="s">
        <v>131</v>
      </c>
      <c r="D294" s="14" t="s">
        <v>131</v>
      </c>
      <c r="E294" s="11" t="s">
        <v>20</v>
      </c>
      <c r="F294" s="14" t="s">
        <v>42</v>
      </c>
      <c r="G294" s="11" t="s">
        <v>482</v>
      </c>
      <c r="H294" s="11" t="s">
        <v>496</v>
      </c>
      <c r="I294" s="11" t="s">
        <v>41</v>
      </c>
      <c r="J294" s="13"/>
      <c r="K294" s="13"/>
      <c r="L294" s="15"/>
      <c r="M294" s="15">
        <v>26829</v>
      </c>
      <c r="N294" s="28">
        <f t="shared" si="76"/>
        <v>30048.480000000003</v>
      </c>
      <c r="O294" s="16" t="s">
        <v>32</v>
      </c>
      <c r="P294" s="69"/>
    </row>
    <row r="295" spans="1:16" ht="86.25" customHeight="1" x14ac:dyDescent="0.25">
      <c r="A295" s="13">
        <v>32</v>
      </c>
      <c r="B295" s="12" t="s">
        <v>45</v>
      </c>
      <c r="C295" s="14" t="s">
        <v>132</v>
      </c>
      <c r="D295" s="14" t="s">
        <v>132</v>
      </c>
      <c r="E295" s="11" t="s">
        <v>20</v>
      </c>
      <c r="F295" s="14" t="s">
        <v>42</v>
      </c>
      <c r="G295" s="11" t="s">
        <v>482</v>
      </c>
      <c r="H295" s="11" t="s">
        <v>496</v>
      </c>
      <c r="I295" s="11" t="s">
        <v>41</v>
      </c>
      <c r="J295" s="13"/>
      <c r="K295" s="13"/>
      <c r="L295" s="15"/>
      <c r="M295" s="15">
        <v>241071.42857142858</v>
      </c>
      <c r="N295" s="28">
        <f t="shared" si="76"/>
        <v>270000.00000000006</v>
      </c>
      <c r="O295" s="16" t="s">
        <v>32</v>
      </c>
      <c r="P295" s="69"/>
    </row>
    <row r="296" spans="1:16" ht="86.25" customHeight="1" x14ac:dyDescent="0.25">
      <c r="A296" s="13">
        <v>33</v>
      </c>
      <c r="B296" s="12" t="s">
        <v>45</v>
      </c>
      <c r="C296" s="14" t="s">
        <v>133</v>
      </c>
      <c r="D296" s="14" t="s">
        <v>133</v>
      </c>
      <c r="E296" s="11" t="s">
        <v>20</v>
      </c>
      <c r="F296" s="14" t="s">
        <v>42</v>
      </c>
      <c r="G296" s="11" t="s">
        <v>482</v>
      </c>
      <c r="H296" s="11" t="s">
        <v>496</v>
      </c>
      <c r="I296" s="11" t="s">
        <v>41</v>
      </c>
      <c r="J296" s="13"/>
      <c r="K296" s="13"/>
      <c r="L296" s="15"/>
      <c r="M296" s="15">
        <v>482142.85714285716</v>
      </c>
      <c r="N296" s="28">
        <f t="shared" si="76"/>
        <v>540000.00000000012</v>
      </c>
      <c r="O296" s="16" t="s">
        <v>32</v>
      </c>
      <c r="P296" s="69"/>
    </row>
    <row r="297" spans="1:16" ht="86.25" customHeight="1" x14ac:dyDescent="0.25">
      <c r="A297" s="13">
        <v>34</v>
      </c>
      <c r="B297" s="12" t="s">
        <v>45</v>
      </c>
      <c r="C297" s="14" t="s">
        <v>134</v>
      </c>
      <c r="D297" s="14" t="s">
        <v>287</v>
      </c>
      <c r="E297" s="11" t="s">
        <v>20</v>
      </c>
      <c r="F297" s="14" t="s">
        <v>42</v>
      </c>
      <c r="G297" s="11" t="s">
        <v>482</v>
      </c>
      <c r="H297" s="11" t="s">
        <v>496</v>
      </c>
      <c r="I297" s="11" t="s">
        <v>41</v>
      </c>
      <c r="J297" s="13"/>
      <c r="K297" s="13"/>
      <c r="L297" s="15"/>
      <c r="M297" s="15">
        <v>302571.43</v>
      </c>
      <c r="N297" s="28">
        <f t="shared" si="76"/>
        <v>338880.00160000002</v>
      </c>
      <c r="O297" s="16" t="s">
        <v>32</v>
      </c>
      <c r="P297" s="69"/>
    </row>
    <row r="298" spans="1:16" ht="86.25" customHeight="1" x14ac:dyDescent="0.25">
      <c r="A298" s="13">
        <v>35</v>
      </c>
      <c r="B298" s="12" t="s">
        <v>45</v>
      </c>
      <c r="C298" s="14" t="s">
        <v>135</v>
      </c>
      <c r="D298" s="14" t="s">
        <v>135</v>
      </c>
      <c r="E298" s="11" t="s">
        <v>20</v>
      </c>
      <c r="F298" s="14" t="s">
        <v>42</v>
      </c>
      <c r="G298" s="11" t="s">
        <v>482</v>
      </c>
      <c r="H298" s="11" t="s">
        <v>496</v>
      </c>
      <c r="I298" s="11" t="s">
        <v>41</v>
      </c>
      <c r="J298" s="13"/>
      <c r="K298" s="13"/>
      <c r="L298" s="15"/>
      <c r="M298" s="15">
        <v>21428.571428571428</v>
      </c>
      <c r="N298" s="28">
        <f t="shared" si="76"/>
        <v>24000</v>
      </c>
      <c r="O298" s="16" t="s">
        <v>32</v>
      </c>
      <c r="P298" s="69"/>
    </row>
    <row r="299" spans="1:16" ht="86.25" customHeight="1" x14ac:dyDescent="0.25">
      <c r="A299" s="13">
        <v>36</v>
      </c>
      <c r="B299" s="12" t="s">
        <v>45</v>
      </c>
      <c r="C299" s="14" t="s">
        <v>135</v>
      </c>
      <c r="D299" s="14" t="s">
        <v>135</v>
      </c>
      <c r="E299" s="11" t="s">
        <v>20</v>
      </c>
      <c r="F299" s="14" t="s">
        <v>42</v>
      </c>
      <c r="G299" s="11" t="s">
        <v>482</v>
      </c>
      <c r="H299" s="11" t="s">
        <v>500</v>
      </c>
      <c r="I299" s="11" t="s">
        <v>41</v>
      </c>
      <c r="J299" s="13"/>
      <c r="K299" s="13"/>
      <c r="L299" s="15"/>
      <c r="M299" s="15">
        <v>88896</v>
      </c>
      <c r="N299" s="15">
        <f>M299*1.12</f>
        <v>99563.520000000004</v>
      </c>
      <c r="O299" s="16" t="s">
        <v>32</v>
      </c>
      <c r="P299" s="69"/>
    </row>
    <row r="300" spans="1:16" ht="86.25" customHeight="1" x14ac:dyDescent="0.25">
      <c r="A300" s="13">
        <v>37</v>
      </c>
      <c r="B300" s="12" t="s">
        <v>45</v>
      </c>
      <c r="C300" s="14" t="s">
        <v>146</v>
      </c>
      <c r="D300" s="14" t="s">
        <v>145</v>
      </c>
      <c r="E300" s="11" t="s">
        <v>20</v>
      </c>
      <c r="F300" s="14" t="s">
        <v>42</v>
      </c>
      <c r="G300" s="11" t="s">
        <v>482</v>
      </c>
      <c r="H300" s="11" t="s">
        <v>497</v>
      </c>
      <c r="I300" s="11" t="s">
        <v>41</v>
      </c>
      <c r="J300" s="13"/>
      <c r="K300" s="13"/>
      <c r="L300" s="13"/>
      <c r="M300" s="15">
        <v>169000</v>
      </c>
      <c r="N300" s="15">
        <f t="shared" si="76"/>
        <v>189280.00000000003</v>
      </c>
      <c r="O300" s="16" t="s">
        <v>32</v>
      </c>
      <c r="P300" s="69"/>
    </row>
    <row r="301" spans="1:16" ht="86.25" customHeight="1" x14ac:dyDescent="0.25">
      <c r="A301" s="13">
        <v>38</v>
      </c>
      <c r="B301" s="12" t="s">
        <v>45</v>
      </c>
      <c r="C301" s="14" t="s">
        <v>146</v>
      </c>
      <c r="D301" s="14" t="s">
        <v>145</v>
      </c>
      <c r="E301" s="11" t="s">
        <v>20</v>
      </c>
      <c r="F301" s="14" t="s">
        <v>42</v>
      </c>
      <c r="G301" s="11" t="s">
        <v>482</v>
      </c>
      <c r="H301" s="11" t="s">
        <v>142</v>
      </c>
      <c r="I301" s="11" t="s">
        <v>41</v>
      </c>
      <c r="J301" s="13"/>
      <c r="K301" s="13"/>
      <c r="L301" s="13"/>
      <c r="M301" s="15">
        <v>38000</v>
      </c>
      <c r="N301" s="15">
        <f t="shared" ref="N301:N327" si="77">M301*1.12</f>
        <v>42560.000000000007</v>
      </c>
      <c r="O301" s="16" t="s">
        <v>32</v>
      </c>
      <c r="P301" s="69"/>
    </row>
    <row r="302" spans="1:16" ht="86.25" customHeight="1" x14ac:dyDescent="0.25">
      <c r="A302" s="13">
        <v>39</v>
      </c>
      <c r="B302" s="12" t="s">
        <v>45</v>
      </c>
      <c r="C302" s="14" t="s">
        <v>147</v>
      </c>
      <c r="D302" s="24" t="s">
        <v>148</v>
      </c>
      <c r="E302" s="11" t="s">
        <v>20</v>
      </c>
      <c r="F302" s="14" t="s">
        <v>42</v>
      </c>
      <c r="G302" s="11" t="s">
        <v>482</v>
      </c>
      <c r="H302" s="11" t="s">
        <v>497</v>
      </c>
      <c r="I302" s="11" t="s">
        <v>41</v>
      </c>
      <c r="J302" s="13"/>
      <c r="K302" s="13"/>
      <c r="L302" s="13"/>
      <c r="M302" s="15">
        <v>186000</v>
      </c>
      <c r="N302" s="15">
        <f t="shared" si="77"/>
        <v>208320.00000000003</v>
      </c>
      <c r="O302" s="16" t="s">
        <v>32</v>
      </c>
      <c r="P302" s="69"/>
    </row>
    <row r="303" spans="1:16" ht="86.25" customHeight="1" x14ac:dyDescent="0.25">
      <c r="A303" s="13">
        <v>40</v>
      </c>
      <c r="B303" s="12" t="s">
        <v>45</v>
      </c>
      <c r="C303" s="14" t="s">
        <v>147</v>
      </c>
      <c r="D303" s="24" t="s">
        <v>148</v>
      </c>
      <c r="E303" s="11" t="s">
        <v>20</v>
      </c>
      <c r="F303" s="14" t="s">
        <v>42</v>
      </c>
      <c r="G303" s="11" t="s">
        <v>482</v>
      </c>
      <c r="H303" s="11" t="s">
        <v>142</v>
      </c>
      <c r="I303" s="11" t="s">
        <v>41</v>
      </c>
      <c r="J303" s="13"/>
      <c r="K303" s="13"/>
      <c r="L303" s="13"/>
      <c r="M303" s="15">
        <v>186000</v>
      </c>
      <c r="N303" s="15">
        <f t="shared" si="77"/>
        <v>208320.00000000003</v>
      </c>
      <c r="O303" s="16" t="s">
        <v>32</v>
      </c>
      <c r="P303" s="69"/>
    </row>
    <row r="304" spans="1:16" ht="86.25" customHeight="1" x14ac:dyDescent="0.25">
      <c r="A304" s="13">
        <v>41</v>
      </c>
      <c r="B304" s="12" t="s">
        <v>45</v>
      </c>
      <c r="C304" s="14" t="s">
        <v>147</v>
      </c>
      <c r="D304" s="24" t="s">
        <v>149</v>
      </c>
      <c r="E304" s="11" t="s">
        <v>20</v>
      </c>
      <c r="F304" s="14" t="s">
        <v>42</v>
      </c>
      <c r="G304" s="11" t="s">
        <v>482</v>
      </c>
      <c r="H304" s="11" t="s">
        <v>497</v>
      </c>
      <c r="I304" s="11" t="s">
        <v>41</v>
      </c>
      <c r="J304" s="13"/>
      <c r="K304" s="13"/>
      <c r="L304" s="13"/>
      <c r="M304" s="15">
        <v>186000</v>
      </c>
      <c r="N304" s="15">
        <f t="shared" si="77"/>
        <v>208320.00000000003</v>
      </c>
      <c r="O304" s="16" t="s">
        <v>32</v>
      </c>
      <c r="P304" s="69"/>
    </row>
    <row r="305" spans="1:16" ht="86.25" customHeight="1" x14ac:dyDescent="0.25">
      <c r="A305" s="13">
        <v>42</v>
      </c>
      <c r="B305" s="12" t="s">
        <v>45</v>
      </c>
      <c r="C305" s="14" t="s">
        <v>147</v>
      </c>
      <c r="D305" s="24" t="s">
        <v>149</v>
      </c>
      <c r="E305" s="11" t="s">
        <v>20</v>
      </c>
      <c r="F305" s="14" t="s">
        <v>42</v>
      </c>
      <c r="G305" s="11" t="s">
        <v>482</v>
      </c>
      <c r="H305" s="11" t="s">
        <v>142</v>
      </c>
      <c r="I305" s="11" t="s">
        <v>41</v>
      </c>
      <c r="J305" s="13"/>
      <c r="K305" s="13"/>
      <c r="L305" s="13"/>
      <c r="M305" s="15">
        <v>186000</v>
      </c>
      <c r="N305" s="15">
        <f t="shared" si="77"/>
        <v>208320.00000000003</v>
      </c>
      <c r="O305" s="16" t="s">
        <v>32</v>
      </c>
      <c r="P305" s="69"/>
    </row>
    <row r="306" spans="1:16" ht="86.25" customHeight="1" x14ac:dyDescent="0.25">
      <c r="A306" s="13">
        <v>43</v>
      </c>
      <c r="B306" s="12" t="s">
        <v>45</v>
      </c>
      <c r="C306" s="14" t="s">
        <v>150</v>
      </c>
      <c r="D306" s="14" t="s">
        <v>151</v>
      </c>
      <c r="E306" s="11" t="s">
        <v>20</v>
      </c>
      <c r="F306" s="14" t="s">
        <v>42</v>
      </c>
      <c r="G306" s="11" t="s">
        <v>482</v>
      </c>
      <c r="H306" s="11" t="s">
        <v>497</v>
      </c>
      <c r="I306" s="11" t="s">
        <v>41</v>
      </c>
      <c r="J306" s="13"/>
      <c r="K306" s="13"/>
      <c r="L306" s="13"/>
      <c r="M306" s="15">
        <v>81000</v>
      </c>
      <c r="N306" s="15">
        <f t="shared" si="77"/>
        <v>90720.000000000015</v>
      </c>
      <c r="O306" s="16" t="s">
        <v>32</v>
      </c>
      <c r="P306" s="69"/>
    </row>
    <row r="307" spans="1:16" ht="86.25" customHeight="1" x14ac:dyDescent="0.25">
      <c r="A307" s="13">
        <v>44</v>
      </c>
      <c r="B307" s="12" t="s">
        <v>45</v>
      </c>
      <c r="C307" s="14" t="s">
        <v>152</v>
      </c>
      <c r="D307" s="14" t="s">
        <v>153</v>
      </c>
      <c r="E307" s="11" t="s">
        <v>20</v>
      </c>
      <c r="F307" s="14" t="s">
        <v>42</v>
      </c>
      <c r="G307" s="11" t="s">
        <v>482</v>
      </c>
      <c r="H307" s="11" t="s">
        <v>497</v>
      </c>
      <c r="I307" s="11" t="s">
        <v>41</v>
      </c>
      <c r="J307" s="13"/>
      <c r="K307" s="13"/>
      <c r="L307" s="13"/>
      <c r="M307" s="15">
        <v>1068000</v>
      </c>
      <c r="N307" s="15">
        <f t="shared" si="77"/>
        <v>1196160</v>
      </c>
      <c r="O307" s="16" t="s">
        <v>32</v>
      </c>
      <c r="P307" s="69"/>
    </row>
    <row r="308" spans="1:16" ht="86.25" customHeight="1" x14ac:dyDescent="0.25">
      <c r="A308" s="13">
        <v>45</v>
      </c>
      <c r="B308" s="12" t="s">
        <v>45</v>
      </c>
      <c r="C308" s="14" t="s">
        <v>152</v>
      </c>
      <c r="D308" s="14" t="s">
        <v>153</v>
      </c>
      <c r="E308" s="11" t="s">
        <v>20</v>
      </c>
      <c r="F308" s="14" t="s">
        <v>42</v>
      </c>
      <c r="G308" s="11" t="s">
        <v>482</v>
      </c>
      <c r="H308" s="11" t="s">
        <v>142</v>
      </c>
      <c r="I308" s="11" t="s">
        <v>41</v>
      </c>
      <c r="J308" s="13"/>
      <c r="K308" s="13"/>
      <c r="L308" s="13"/>
      <c r="M308" s="15">
        <v>365000</v>
      </c>
      <c r="N308" s="15">
        <f t="shared" si="77"/>
        <v>408800.00000000006</v>
      </c>
      <c r="O308" s="16" t="s">
        <v>32</v>
      </c>
      <c r="P308" s="69"/>
    </row>
    <row r="309" spans="1:16" ht="86.25" customHeight="1" x14ac:dyDescent="0.25">
      <c r="A309" s="13">
        <v>46</v>
      </c>
      <c r="B309" s="12" t="s">
        <v>45</v>
      </c>
      <c r="C309" s="14" t="s">
        <v>154</v>
      </c>
      <c r="D309" s="14" t="s">
        <v>155</v>
      </c>
      <c r="E309" s="11" t="s">
        <v>20</v>
      </c>
      <c r="F309" s="14" t="s">
        <v>42</v>
      </c>
      <c r="G309" s="11" t="s">
        <v>482</v>
      </c>
      <c r="H309" s="11" t="s">
        <v>497</v>
      </c>
      <c r="I309" s="11" t="s">
        <v>41</v>
      </c>
      <c r="J309" s="13"/>
      <c r="K309" s="13"/>
      <c r="L309" s="13"/>
      <c r="M309" s="15">
        <v>52000</v>
      </c>
      <c r="N309" s="15">
        <f t="shared" si="77"/>
        <v>58240.000000000007</v>
      </c>
      <c r="O309" s="16" t="s">
        <v>32</v>
      </c>
      <c r="P309" s="69"/>
    </row>
    <row r="310" spans="1:16" ht="86.25" customHeight="1" x14ac:dyDescent="0.25">
      <c r="A310" s="13">
        <v>47</v>
      </c>
      <c r="B310" s="12" t="s">
        <v>45</v>
      </c>
      <c r="C310" s="14" t="s">
        <v>154</v>
      </c>
      <c r="D310" s="14" t="s">
        <v>155</v>
      </c>
      <c r="E310" s="11" t="s">
        <v>20</v>
      </c>
      <c r="F310" s="14" t="s">
        <v>42</v>
      </c>
      <c r="G310" s="11" t="s">
        <v>482</v>
      </c>
      <c r="H310" s="11" t="s">
        <v>142</v>
      </c>
      <c r="I310" s="11" t="s">
        <v>41</v>
      </c>
      <c r="J310" s="13"/>
      <c r="K310" s="13"/>
      <c r="L310" s="13"/>
      <c r="M310" s="15">
        <v>45000</v>
      </c>
      <c r="N310" s="15">
        <f t="shared" si="77"/>
        <v>50400.000000000007</v>
      </c>
      <c r="O310" s="16" t="s">
        <v>32</v>
      </c>
      <c r="P310" s="69"/>
    </row>
    <row r="311" spans="1:16" ht="86.25" customHeight="1" x14ac:dyDescent="0.25">
      <c r="A311" s="13">
        <v>48</v>
      </c>
      <c r="B311" s="12" t="s">
        <v>45</v>
      </c>
      <c r="C311" s="40" t="s">
        <v>311</v>
      </c>
      <c r="D311" s="13" t="s">
        <v>312</v>
      </c>
      <c r="E311" s="11" t="s">
        <v>20</v>
      </c>
      <c r="F311" s="14" t="s">
        <v>42</v>
      </c>
      <c r="G311" s="11" t="s">
        <v>482</v>
      </c>
      <c r="H311" s="14" t="s">
        <v>161</v>
      </c>
      <c r="I311" s="13" t="s">
        <v>41</v>
      </c>
      <c r="J311" s="13"/>
      <c r="K311" s="13"/>
      <c r="L311" s="18"/>
      <c r="M311" s="15">
        <v>24000</v>
      </c>
      <c r="N311" s="15">
        <v>26880</v>
      </c>
      <c r="O311" s="16" t="s">
        <v>32</v>
      </c>
      <c r="P311" s="69"/>
    </row>
    <row r="312" spans="1:16" ht="86.25" customHeight="1" x14ac:dyDescent="0.25">
      <c r="A312" s="13">
        <v>49</v>
      </c>
      <c r="B312" s="12" t="s">
        <v>45</v>
      </c>
      <c r="C312" s="80" t="s">
        <v>156</v>
      </c>
      <c r="D312" s="80" t="s">
        <v>157</v>
      </c>
      <c r="E312" s="11" t="s">
        <v>20</v>
      </c>
      <c r="F312" s="14" t="s">
        <v>42</v>
      </c>
      <c r="G312" s="11" t="s">
        <v>482</v>
      </c>
      <c r="H312" s="11" t="s">
        <v>142</v>
      </c>
      <c r="I312" s="11" t="s">
        <v>41</v>
      </c>
      <c r="J312" s="13"/>
      <c r="K312" s="13"/>
      <c r="L312" s="13"/>
      <c r="M312" s="15">
        <v>960000</v>
      </c>
      <c r="N312" s="15">
        <f t="shared" si="77"/>
        <v>1075200</v>
      </c>
      <c r="O312" s="16" t="s">
        <v>32</v>
      </c>
      <c r="P312" s="69"/>
    </row>
    <row r="313" spans="1:16" ht="86.25" customHeight="1" x14ac:dyDescent="0.25">
      <c r="A313" s="13">
        <v>50</v>
      </c>
      <c r="B313" s="12" t="s">
        <v>45</v>
      </c>
      <c r="C313" s="14" t="s">
        <v>147</v>
      </c>
      <c r="D313" s="24" t="s">
        <v>158</v>
      </c>
      <c r="E313" s="11" t="s">
        <v>20</v>
      </c>
      <c r="F313" s="14" t="s">
        <v>42</v>
      </c>
      <c r="G313" s="11" t="s">
        <v>482</v>
      </c>
      <c r="H313" s="11" t="s">
        <v>142</v>
      </c>
      <c r="I313" s="11" t="s">
        <v>41</v>
      </c>
      <c r="J313" s="13"/>
      <c r="K313" s="13"/>
      <c r="L313" s="13"/>
      <c r="M313" s="15">
        <v>206200</v>
      </c>
      <c r="N313" s="15">
        <f t="shared" si="77"/>
        <v>230944.00000000003</v>
      </c>
      <c r="O313" s="16" t="s">
        <v>32</v>
      </c>
      <c r="P313" s="69"/>
    </row>
    <row r="314" spans="1:16" ht="86.25" customHeight="1" x14ac:dyDescent="0.25">
      <c r="A314" s="13">
        <v>51</v>
      </c>
      <c r="B314" s="12" t="s">
        <v>45</v>
      </c>
      <c r="C314" s="14" t="s">
        <v>165</v>
      </c>
      <c r="D314" s="14" t="s">
        <v>165</v>
      </c>
      <c r="E314" s="11" t="s">
        <v>20</v>
      </c>
      <c r="F314" s="14" t="s">
        <v>42</v>
      </c>
      <c r="G314" s="11" t="s">
        <v>482</v>
      </c>
      <c r="H314" s="11" t="s">
        <v>498</v>
      </c>
      <c r="I314" s="11" t="s">
        <v>41</v>
      </c>
      <c r="J314" s="13"/>
      <c r="K314" s="13"/>
      <c r="L314" s="13"/>
      <c r="M314" s="15">
        <v>480000</v>
      </c>
      <c r="N314" s="15">
        <f t="shared" si="77"/>
        <v>537600</v>
      </c>
      <c r="O314" s="28" t="s">
        <v>32</v>
      </c>
      <c r="P314" s="69"/>
    </row>
    <row r="315" spans="1:16" ht="111" customHeight="1" x14ac:dyDescent="0.25">
      <c r="A315" s="13">
        <v>52</v>
      </c>
      <c r="B315" s="12" t="s">
        <v>45</v>
      </c>
      <c r="C315" s="14" t="s">
        <v>165</v>
      </c>
      <c r="D315" s="14" t="s">
        <v>165</v>
      </c>
      <c r="E315" s="11" t="s">
        <v>20</v>
      </c>
      <c r="F315" s="14" t="s">
        <v>42</v>
      </c>
      <c r="G315" s="11" t="s">
        <v>482</v>
      </c>
      <c r="H315" s="11" t="s">
        <v>494</v>
      </c>
      <c r="I315" s="11" t="s">
        <v>41</v>
      </c>
      <c r="J315" s="13"/>
      <c r="K315" s="13"/>
      <c r="L315" s="13"/>
      <c r="M315" s="15">
        <v>272747.74774774775</v>
      </c>
      <c r="N315" s="15">
        <f t="shared" si="77"/>
        <v>305477.47747747751</v>
      </c>
      <c r="O315" s="28" t="s">
        <v>32</v>
      </c>
      <c r="P315" s="69"/>
    </row>
    <row r="316" spans="1:16" ht="86.25" customHeight="1" x14ac:dyDescent="0.25">
      <c r="A316" s="13">
        <v>53</v>
      </c>
      <c r="B316" s="12" t="s">
        <v>45</v>
      </c>
      <c r="C316" s="13" t="s">
        <v>313</v>
      </c>
      <c r="D316" s="13" t="s">
        <v>314</v>
      </c>
      <c r="E316" s="11" t="s">
        <v>20</v>
      </c>
      <c r="F316" s="14" t="s">
        <v>42</v>
      </c>
      <c r="G316" s="11" t="s">
        <v>482</v>
      </c>
      <c r="H316" s="14" t="s">
        <v>161</v>
      </c>
      <c r="I316" s="13" t="s">
        <v>41</v>
      </c>
      <c r="J316" s="13"/>
      <c r="K316" s="13"/>
      <c r="L316" s="18"/>
      <c r="M316" s="15">
        <v>33000</v>
      </c>
      <c r="N316" s="15">
        <v>36960</v>
      </c>
      <c r="O316" s="28" t="s">
        <v>32</v>
      </c>
      <c r="P316" s="69"/>
    </row>
    <row r="317" spans="1:16" ht="86.25" customHeight="1" x14ac:dyDescent="0.25">
      <c r="A317" s="13">
        <v>54</v>
      </c>
      <c r="B317" s="12" t="s">
        <v>45</v>
      </c>
      <c r="C317" s="14" t="s">
        <v>166</v>
      </c>
      <c r="D317" s="14" t="s">
        <v>166</v>
      </c>
      <c r="E317" s="11" t="s">
        <v>20</v>
      </c>
      <c r="F317" s="14" t="s">
        <v>42</v>
      </c>
      <c r="G317" s="11" t="s">
        <v>482</v>
      </c>
      <c r="H317" s="11" t="s">
        <v>498</v>
      </c>
      <c r="I317" s="11" t="s">
        <v>41</v>
      </c>
      <c r="J317" s="13"/>
      <c r="K317" s="13"/>
      <c r="L317" s="13"/>
      <c r="M317" s="15">
        <v>180000</v>
      </c>
      <c r="N317" s="15">
        <f t="shared" si="77"/>
        <v>201600.00000000003</v>
      </c>
      <c r="O317" s="28" t="s">
        <v>32</v>
      </c>
      <c r="P317" s="69"/>
    </row>
    <row r="318" spans="1:16" ht="121.5" customHeight="1" x14ac:dyDescent="0.25">
      <c r="A318" s="13">
        <v>55</v>
      </c>
      <c r="B318" s="12" t="s">
        <v>45</v>
      </c>
      <c r="C318" s="14" t="s">
        <v>167</v>
      </c>
      <c r="D318" s="14" t="s">
        <v>167</v>
      </c>
      <c r="E318" s="11" t="s">
        <v>20</v>
      </c>
      <c r="F318" s="14" t="s">
        <v>42</v>
      </c>
      <c r="G318" s="11" t="s">
        <v>482</v>
      </c>
      <c r="H318" s="11" t="s">
        <v>498</v>
      </c>
      <c r="I318" s="11" t="s">
        <v>41</v>
      </c>
      <c r="J318" s="13"/>
      <c r="K318" s="13"/>
      <c r="L318" s="13"/>
      <c r="M318" s="15">
        <v>268000</v>
      </c>
      <c r="N318" s="15">
        <f t="shared" si="77"/>
        <v>300160</v>
      </c>
      <c r="O318" s="28" t="s">
        <v>32</v>
      </c>
      <c r="P318" s="69"/>
    </row>
    <row r="319" spans="1:16" ht="114" customHeight="1" x14ac:dyDescent="0.25">
      <c r="A319" s="13">
        <v>56</v>
      </c>
      <c r="B319" s="12" t="s">
        <v>45</v>
      </c>
      <c r="C319" s="14" t="s">
        <v>168</v>
      </c>
      <c r="D319" s="14" t="s">
        <v>168</v>
      </c>
      <c r="E319" s="11" t="s">
        <v>20</v>
      </c>
      <c r="F319" s="14" t="s">
        <v>42</v>
      </c>
      <c r="G319" s="11" t="s">
        <v>482</v>
      </c>
      <c r="H319" s="11" t="s">
        <v>498</v>
      </c>
      <c r="I319" s="11" t="s">
        <v>41</v>
      </c>
      <c r="J319" s="13"/>
      <c r="K319" s="13"/>
      <c r="L319" s="13"/>
      <c r="M319" s="15">
        <v>360000</v>
      </c>
      <c r="N319" s="15">
        <f t="shared" si="77"/>
        <v>403200.00000000006</v>
      </c>
      <c r="O319" s="28" t="s">
        <v>32</v>
      </c>
      <c r="P319" s="69"/>
    </row>
    <row r="320" spans="1:16" ht="117" customHeight="1" x14ac:dyDescent="0.25">
      <c r="A320" s="13">
        <v>57</v>
      </c>
      <c r="B320" s="12" t="s">
        <v>45</v>
      </c>
      <c r="C320" s="14" t="s">
        <v>65</v>
      </c>
      <c r="D320" s="14" t="s">
        <v>210</v>
      </c>
      <c r="E320" s="11" t="s">
        <v>20</v>
      </c>
      <c r="F320" s="14" t="s">
        <v>42</v>
      </c>
      <c r="G320" s="11" t="s">
        <v>482</v>
      </c>
      <c r="H320" s="11" t="s">
        <v>498</v>
      </c>
      <c r="I320" s="11" t="s">
        <v>41</v>
      </c>
      <c r="J320" s="13"/>
      <c r="K320" s="13"/>
      <c r="L320" s="13"/>
      <c r="M320" s="15">
        <v>320000</v>
      </c>
      <c r="N320" s="15">
        <f t="shared" si="77"/>
        <v>358400.00000000006</v>
      </c>
      <c r="O320" s="28" t="s">
        <v>32</v>
      </c>
      <c r="P320" s="69"/>
    </row>
    <row r="321" spans="1:18" ht="109.5" customHeight="1" x14ac:dyDescent="0.25">
      <c r="A321" s="13">
        <v>58</v>
      </c>
      <c r="B321" s="12" t="s">
        <v>45</v>
      </c>
      <c r="C321" s="14" t="s">
        <v>211</v>
      </c>
      <c r="D321" s="14" t="s">
        <v>211</v>
      </c>
      <c r="E321" s="11" t="s">
        <v>20</v>
      </c>
      <c r="F321" s="14" t="s">
        <v>42</v>
      </c>
      <c r="G321" s="11" t="s">
        <v>482</v>
      </c>
      <c r="H321" s="11" t="s">
        <v>498</v>
      </c>
      <c r="I321" s="11" t="s">
        <v>41</v>
      </c>
      <c r="J321" s="13"/>
      <c r="K321" s="13"/>
      <c r="L321" s="13"/>
      <c r="M321" s="15">
        <v>540000</v>
      </c>
      <c r="N321" s="15">
        <f t="shared" si="77"/>
        <v>604800</v>
      </c>
      <c r="O321" s="13" t="s">
        <v>32</v>
      </c>
      <c r="P321" s="69"/>
    </row>
    <row r="322" spans="1:18" ht="105.75" customHeight="1" x14ac:dyDescent="0.25">
      <c r="A322" s="13">
        <v>59</v>
      </c>
      <c r="B322" s="12" t="s">
        <v>45</v>
      </c>
      <c r="C322" s="14" t="s">
        <v>212</v>
      </c>
      <c r="D322" s="14" t="s">
        <v>212</v>
      </c>
      <c r="E322" s="11" t="s">
        <v>20</v>
      </c>
      <c r="F322" s="14" t="s">
        <v>42</v>
      </c>
      <c r="G322" s="11" t="s">
        <v>482</v>
      </c>
      <c r="H322" s="11" t="s">
        <v>498</v>
      </c>
      <c r="I322" s="11" t="s">
        <v>41</v>
      </c>
      <c r="J322" s="13"/>
      <c r="K322" s="13"/>
      <c r="L322" s="13"/>
      <c r="M322" s="15">
        <v>480000</v>
      </c>
      <c r="N322" s="15">
        <f t="shared" si="77"/>
        <v>537600</v>
      </c>
      <c r="O322" s="13" t="s">
        <v>32</v>
      </c>
      <c r="P322" s="69"/>
    </row>
    <row r="323" spans="1:18" ht="105" customHeight="1" x14ac:dyDescent="0.25">
      <c r="A323" s="13">
        <v>60</v>
      </c>
      <c r="B323" s="12" t="s">
        <v>45</v>
      </c>
      <c r="C323" s="14" t="s">
        <v>212</v>
      </c>
      <c r="D323" s="14" t="s">
        <v>212</v>
      </c>
      <c r="E323" s="11" t="s">
        <v>20</v>
      </c>
      <c r="F323" s="14" t="s">
        <v>42</v>
      </c>
      <c r="G323" s="11" t="s">
        <v>482</v>
      </c>
      <c r="H323" s="14" t="s">
        <v>324</v>
      </c>
      <c r="I323" s="11" t="s">
        <v>41</v>
      </c>
      <c r="J323" s="13"/>
      <c r="K323" s="13"/>
      <c r="L323" s="13"/>
      <c r="M323" s="15">
        <v>192857.14</v>
      </c>
      <c r="N323" s="15">
        <f t="shared" ref="N323" si="78">M323*1.12</f>
        <v>215999.99680000002</v>
      </c>
      <c r="O323" s="13" t="s">
        <v>32</v>
      </c>
      <c r="P323" s="69"/>
    </row>
    <row r="324" spans="1:18" ht="112.5" customHeight="1" x14ac:dyDescent="0.25">
      <c r="A324" s="13">
        <v>61</v>
      </c>
      <c r="B324" s="12" t="s">
        <v>45</v>
      </c>
      <c r="C324" s="14" t="s">
        <v>213</v>
      </c>
      <c r="D324" s="14" t="s">
        <v>213</v>
      </c>
      <c r="E324" s="11" t="s">
        <v>20</v>
      </c>
      <c r="F324" s="14" t="s">
        <v>42</v>
      </c>
      <c r="G324" s="11" t="s">
        <v>482</v>
      </c>
      <c r="H324" s="11" t="s">
        <v>498</v>
      </c>
      <c r="I324" s="11" t="s">
        <v>41</v>
      </c>
      <c r="J324" s="13"/>
      <c r="K324" s="13"/>
      <c r="L324" s="13"/>
      <c r="M324" s="15">
        <v>24000</v>
      </c>
      <c r="N324" s="15">
        <f t="shared" si="77"/>
        <v>26880.000000000004</v>
      </c>
      <c r="O324" s="13" t="s">
        <v>32</v>
      </c>
      <c r="P324" s="69"/>
    </row>
    <row r="325" spans="1:18" ht="86.25" customHeight="1" x14ac:dyDescent="0.25">
      <c r="A325" s="13">
        <v>62</v>
      </c>
      <c r="B325" s="12" t="s">
        <v>45</v>
      </c>
      <c r="C325" s="14" t="s">
        <v>169</v>
      </c>
      <c r="D325" s="14" t="s">
        <v>170</v>
      </c>
      <c r="E325" s="11" t="s">
        <v>20</v>
      </c>
      <c r="F325" s="14" t="s">
        <v>42</v>
      </c>
      <c r="G325" s="11" t="s">
        <v>482</v>
      </c>
      <c r="H325" s="11" t="s">
        <v>501</v>
      </c>
      <c r="I325" s="11" t="s">
        <v>41</v>
      </c>
      <c r="J325" s="13"/>
      <c r="K325" s="13"/>
      <c r="L325" s="13"/>
      <c r="M325" s="15">
        <v>1093000</v>
      </c>
      <c r="N325" s="15">
        <f t="shared" si="77"/>
        <v>1224160.0000000002</v>
      </c>
      <c r="O325" s="28" t="s">
        <v>32</v>
      </c>
      <c r="P325" s="69"/>
    </row>
    <row r="326" spans="1:18" ht="111" customHeight="1" x14ac:dyDescent="0.25">
      <c r="A326" s="13">
        <v>63</v>
      </c>
      <c r="B326" s="12" t="s">
        <v>45</v>
      </c>
      <c r="C326" s="14" t="s">
        <v>192</v>
      </c>
      <c r="D326" s="14" t="s">
        <v>193</v>
      </c>
      <c r="E326" s="11" t="s">
        <v>20</v>
      </c>
      <c r="F326" s="14" t="s">
        <v>42</v>
      </c>
      <c r="G326" s="11" t="s">
        <v>482</v>
      </c>
      <c r="H326" s="14" t="s">
        <v>324</v>
      </c>
      <c r="I326" s="11" t="s">
        <v>41</v>
      </c>
      <c r="J326" s="13"/>
      <c r="K326" s="28"/>
      <c r="L326" s="13"/>
      <c r="M326" s="15">
        <v>2648</v>
      </c>
      <c r="N326" s="27">
        <f t="shared" si="77"/>
        <v>2965.76</v>
      </c>
      <c r="O326" s="13" t="s">
        <v>32</v>
      </c>
      <c r="P326" s="69"/>
    </row>
    <row r="327" spans="1:18" ht="86.25" customHeight="1" x14ac:dyDescent="0.25">
      <c r="A327" s="13">
        <v>64</v>
      </c>
      <c r="B327" s="12" t="s">
        <v>45</v>
      </c>
      <c r="C327" s="14" t="s">
        <v>194</v>
      </c>
      <c r="D327" s="14" t="s">
        <v>197</v>
      </c>
      <c r="E327" s="13" t="s">
        <v>24</v>
      </c>
      <c r="F327" s="14" t="s">
        <v>42</v>
      </c>
      <c r="G327" s="11" t="s">
        <v>482</v>
      </c>
      <c r="H327" s="11" t="s">
        <v>501</v>
      </c>
      <c r="I327" s="11" t="s">
        <v>41</v>
      </c>
      <c r="J327" s="13"/>
      <c r="K327" s="28"/>
      <c r="L327" s="13"/>
      <c r="M327" s="15">
        <v>6674400</v>
      </c>
      <c r="N327" s="27">
        <f t="shared" si="77"/>
        <v>7475328.0000000009</v>
      </c>
      <c r="O327" s="13" t="s">
        <v>32</v>
      </c>
      <c r="P327" s="69"/>
    </row>
    <row r="328" spans="1:18" ht="78.75" customHeight="1" x14ac:dyDescent="0.25">
      <c r="A328" s="13">
        <v>65</v>
      </c>
      <c r="B328" s="12" t="s">
        <v>45</v>
      </c>
      <c r="C328" s="14" t="s">
        <v>205</v>
      </c>
      <c r="D328" s="14" t="s">
        <v>206</v>
      </c>
      <c r="E328" s="11" t="s">
        <v>20</v>
      </c>
      <c r="F328" s="14" t="s">
        <v>42</v>
      </c>
      <c r="G328" s="11" t="s">
        <v>482</v>
      </c>
      <c r="H328" s="14" t="s">
        <v>204</v>
      </c>
      <c r="I328" s="11" t="s">
        <v>25</v>
      </c>
      <c r="J328" s="13"/>
      <c r="K328" s="11"/>
      <c r="L328" s="26"/>
      <c r="M328" s="78">
        <v>7622269070</v>
      </c>
      <c r="N328" s="16">
        <f>M328*1.12</f>
        <v>8536941358.4000006</v>
      </c>
      <c r="O328" s="28" t="s">
        <v>32</v>
      </c>
      <c r="P328" s="69"/>
    </row>
    <row r="329" spans="1:18" ht="130.5" customHeight="1" x14ac:dyDescent="0.25">
      <c r="A329" s="13">
        <v>66</v>
      </c>
      <c r="B329" s="12" t="s">
        <v>45</v>
      </c>
      <c r="C329" s="40" t="s">
        <v>208</v>
      </c>
      <c r="D329" s="40" t="s">
        <v>208</v>
      </c>
      <c r="E329" s="11" t="s">
        <v>20</v>
      </c>
      <c r="F329" s="14" t="s">
        <v>42</v>
      </c>
      <c r="G329" s="11" t="s">
        <v>482</v>
      </c>
      <c r="H329" s="11" t="s">
        <v>499</v>
      </c>
      <c r="I329" s="11" t="s">
        <v>41</v>
      </c>
      <c r="J329" s="13"/>
      <c r="K329" s="13"/>
      <c r="L329" s="13"/>
      <c r="M329" s="15">
        <v>780000</v>
      </c>
      <c r="N329" s="15">
        <f t="shared" ref="N329:N334" si="79">M329*1.12</f>
        <v>873600.00000000012</v>
      </c>
      <c r="O329" s="28" t="s">
        <v>32</v>
      </c>
      <c r="P329" s="69"/>
    </row>
    <row r="330" spans="1:18" ht="129" customHeight="1" x14ac:dyDescent="0.25">
      <c r="A330" s="13">
        <v>67</v>
      </c>
      <c r="B330" s="12" t="s">
        <v>45</v>
      </c>
      <c r="C330" s="14" t="s">
        <v>166</v>
      </c>
      <c r="D330" s="14" t="s">
        <v>166</v>
      </c>
      <c r="E330" s="11" t="s">
        <v>20</v>
      </c>
      <c r="F330" s="14" t="s">
        <v>42</v>
      </c>
      <c r="G330" s="11" t="s">
        <v>482</v>
      </c>
      <c r="H330" s="11" t="s">
        <v>499</v>
      </c>
      <c r="I330" s="11" t="s">
        <v>41</v>
      </c>
      <c r="J330" s="13"/>
      <c r="K330" s="13"/>
      <c r="L330" s="13"/>
      <c r="M330" s="15">
        <v>90000</v>
      </c>
      <c r="N330" s="15">
        <f t="shared" si="79"/>
        <v>100800.00000000001</v>
      </c>
      <c r="O330" s="28" t="s">
        <v>32</v>
      </c>
      <c r="P330" s="69"/>
    </row>
    <row r="331" spans="1:18" ht="120.75" customHeight="1" x14ac:dyDescent="0.25">
      <c r="A331" s="13">
        <v>68</v>
      </c>
      <c r="B331" s="12" t="s">
        <v>45</v>
      </c>
      <c r="C331" s="40" t="s">
        <v>209</v>
      </c>
      <c r="D331" s="40" t="s">
        <v>209</v>
      </c>
      <c r="E331" s="11" t="s">
        <v>20</v>
      </c>
      <c r="F331" s="14" t="s">
        <v>42</v>
      </c>
      <c r="G331" s="11" t="s">
        <v>482</v>
      </c>
      <c r="H331" s="11" t="s">
        <v>499</v>
      </c>
      <c r="I331" s="11" t="s">
        <v>41</v>
      </c>
      <c r="J331" s="13"/>
      <c r="K331" s="13"/>
      <c r="L331" s="13"/>
      <c r="M331" s="15">
        <v>90000</v>
      </c>
      <c r="N331" s="15">
        <f t="shared" si="79"/>
        <v>100800.00000000001</v>
      </c>
      <c r="O331" s="28" t="s">
        <v>32</v>
      </c>
      <c r="P331" s="69"/>
    </row>
    <row r="332" spans="1:18" ht="127.5" customHeight="1" x14ac:dyDescent="0.2">
      <c r="A332" s="13">
        <v>69</v>
      </c>
      <c r="B332" s="12" t="s">
        <v>45</v>
      </c>
      <c r="C332" s="14" t="s">
        <v>215</v>
      </c>
      <c r="D332" s="14" t="s">
        <v>215</v>
      </c>
      <c r="E332" s="11" t="s">
        <v>20</v>
      </c>
      <c r="F332" s="14" t="s">
        <v>42</v>
      </c>
      <c r="G332" s="11" t="s">
        <v>482</v>
      </c>
      <c r="H332" s="11" t="s">
        <v>498</v>
      </c>
      <c r="I332" s="11" t="s">
        <v>41</v>
      </c>
      <c r="J332" s="13"/>
      <c r="K332" s="13"/>
      <c r="L332" s="13"/>
      <c r="M332" s="15">
        <v>1904000</v>
      </c>
      <c r="N332" s="15">
        <f t="shared" si="79"/>
        <v>2132480</v>
      </c>
      <c r="O332" s="28" t="s">
        <v>32</v>
      </c>
      <c r="P332" s="69"/>
      <c r="R332" s="81"/>
    </row>
    <row r="333" spans="1:18" ht="124.5" customHeight="1" x14ac:dyDescent="0.25">
      <c r="A333" s="13">
        <v>70</v>
      </c>
      <c r="B333" s="12" t="s">
        <v>45</v>
      </c>
      <c r="C333" s="14" t="s">
        <v>216</v>
      </c>
      <c r="D333" s="14" t="s">
        <v>217</v>
      </c>
      <c r="E333" s="11" t="s">
        <v>20</v>
      </c>
      <c r="F333" s="14" t="s">
        <v>42</v>
      </c>
      <c r="G333" s="11" t="s">
        <v>482</v>
      </c>
      <c r="H333" s="11" t="s">
        <v>499</v>
      </c>
      <c r="I333" s="11" t="s">
        <v>41</v>
      </c>
      <c r="J333" s="13"/>
      <c r="K333" s="13"/>
      <c r="L333" s="13"/>
      <c r="M333" s="15">
        <v>1350000</v>
      </c>
      <c r="N333" s="15">
        <f t="shared" si="79"/>
        <v>1512000.0000000002</v>
      </c>
      <c r="O333" s="28" t="s">
        <v>32</v>
      </c>
      <c r="P333" s="69"/>
    </row>
    <row r="334" spans="1:18" ht="129.75" customHeight="1" x14ac:dyDescent="0.25">
      <c r="A334" s="13">
        <v>71</v>
      </c>
      <c r="B334" s="12" t="s">
        <v>45</v>
      </c>
      <c r="C334" s="14" t="s">
        <v>218</v>
      </c>
      <c r="D334" s="14" t="s">
        <v>218</v>
      </c>
      <c r="E334" s="11" t="s">
        <v>20</v>
      </c>
      <c r="F334" s="14" t="s">
        <v>42</v>
      </c>
      <c r="G334" s="11" t="s">
        <v>482</v>
      </c>
      <c r="H334" s="11" t="s">
        <v>499</v>
      </c>
      <c r="I334" s="11" t="s">
        <v>41</v>
      </c>
      <c r="J334" s="13"/>
      <c r="K334" s="13"/>
      <c r="L334" s="13"/>
      <c r="M334" s="15">
        <v>5820000</v>
      </c>
      <c r="N334" s="15">
        <f t="shared" si="79"/>
        <v>6518400.0000000009</v>
      </c>
      <c r="O334" s="28" t="s">
        <v>32</v>
      </c>
      <c r="P334" s="69"/>
    </row>
    <row r="335" spans="1:18" ht="120" customHeight="1" x14ac:dyDescent="0.25">
      <c r="A335" s="13">
        <v>72</v>
      </c>
      <c r="B335" s="12" t="s">
        <v>45</v>
      </c>
      <c r="C335" s="14" t="s">
        <v>219</v>
      </c>
      <c r="D335" s="14" t="s">
        <v>220</v>
      </c>
      <c r="E335" s="11" t="s">
        <v>20</v>
      </c>
      <c r="F335" s="14" t="s">
        <v>42</v>
      </c>
      <c r="G335" s="11" t="s">
        <v>482</v>
      </c>
      <c r="H335" s="20" t="s">
        <v>495</v>
      </c>
      <c r="I335" s="11" t="s">
        <v>41</v>
      </c>
      <c r="J335" s="13"/>
      <c r="K335" s="13"/>
      <c r="L335" s="13"/>
      <c r="M335" s="15">
        <v>600000</v>
      </c>
      <c r="N335" s="15">
        <f t="shared" ref="N335" si="80">M335*1.12</f>
        <v>672000.00000000012</v>
      </c>
      <c r="O335" s="28" t="s">
        <v>32</v>
      </c>
      <c r="P335" s="69"/>
    </row>
    <row r="336" spans="1:18" ht="117.75" customHeight="1" x14ac:dyDescent="0.25">
      <c r="A336" s="13">
        <v>73</v>
      </c>
      <c r="B336" s="12" t="s">
        <v>45</v>
      </c>
      <c r="C336" s="14" t="s">
        <v>221</v>
      </c>
      <c r="D336" s="14" t="s">
        <v>155</v>
      </c>
      <c r="E336" s="11" t="s">
        <v>20</v>
      </c>
      <c r="F336" s="14" t="s">
        <v>42</v>
      </c>
      <c r="G336" s="11" t="s">
        <v>482</v>
      </c>
      <c r="H336" s="20" t="s">
        <v>495</v>
      </c>
      <c r="I336" s="11" t="s">
        <v>41</v>
      </c>
      <c r="J336" s="13"/>
      <c r="K336" s="13"/>
      <c r="L336" s="13"/>
      <c r="M336" s="15">
        <v>75000</v>
      </c>
      <c r="N336" s="15">
        <f t="shared" ref="N336" si="81">M336*1.12</f>
        <v>84000.000000000015</v>
      </c>
      <c r="O336" s="16" t="s">
        <v>32</v>
      </c>
      <c r="P336" s="69"/>
    </row>
    <row r="337" spans="1:16" ht="110.25" customHeight="1" x14ac:dyDescent="0.25">
      <c r="A337" s="13">
        <v>74</v>
      </c>
      <c r="B337" s="12" t="s">
        <v>45</v>
      </c>
      <c r="C337" s="14" t="s">
        <v>222</v>
      </c>
      <c r="D337" s="14" t="s">
        <v>222</v>
      </c>
      <c r="E337" s="11" t="s">
        <v>20</v>
      </c>
      <c r="F337" s="14" t="s">
        <v>42</v>
      </c>
      <c r="G337" s="11" t="s">
        <v>482</v>
      </c>
      <c r="H337" s="20" t="s">
        <v>495</v>
      </c>
      <c r="I337" s="11" t="s">
        <v>41</v>
      </c>
      <c r="J337" s="13"/>
      <c r="K337" s="13"/>
      <c r="L337" s="13"/>
      <c r="M337" s="15">
        <v>440000</v>
      </c>
      <c r="N337" s="15">
        <f t="shared" ref="N337" si="82">M337*1.12</f>
        <v>492800.00000000006</v>
      </c>
      <c r="O337" s="16" t="s">
        <v>32</v>
      </c>
      <c r="P337" s="69"/>
    </row>
    <row r="338" spans="1:16" ht="98.25" customHeight="1" x14ac:dyDescent="0.25">
      <c r="A338" s="13">
        <v>75</v>
      </c>
      <c r="B338" s="12" t="s">
        <v>45</v>
      </c>
      <c r="C338" s="14" t="s">
        <v>277</v>
      </c>
      <c r="D338" s="14" t="s">
        <v>278</v>
      </c>
      <c r="E338" s="11" t="s">
        <v>20</v>
      </c>
      <c r="F338" s="14" t="s">
        <v>42</v>
      </c>
      <c r="G338" s="11" t="s">
        <v>482</v>
      </c>
      <c r="H338" s="14" t="s">
        <v>324</v>
      </c>
      <c r="I338" s="11" t="s">
        <v>41</v>
      </c>
      <c r="J338" s="13"/>
      <c r="K338" s="28"/>
      <c r="L338" s="13"/>
      <c r="M338" s="15">
        <v>342857.14199999999</v>
      </c>
      <c r="N338" s="27">
        <v>384000</v>
      </c>
      <c r="O338" s="13" t="s">
        <v>32</v>
      </c>
      <c r="P338" s="69"/>
    </row>
    <row r="339" spans="1:16" ht="113.25" customHeight="1" x14ac:dyDescent="0.25">
      <c r="A339" s="13">
        <v>76</v>
      </c>
      <c r="B339" s="12" t="s">
        <v>45</v>
      </c>
      <c r="C339" s="14" t="s">
        <v>279</v>
      </c>
      <c r="D339" s="14" t="s">
        <v>280</v>
      </c>
      <c r="E339" s="11" t="s">
        <v>20</v>
      </c>
      <c r="F339" s="14" t="s">
        <v>42</v>
      </c>
      <c r="G339" s="11" t="s">
        <v>482</v>
      </c>
      <c r="H339" s="14" t="s">
        <v>324</v>
      </c>
      <c r="I339" s="11" t="s">
        <v>41</v>
      </c>
      <c r="J339" s="13"/>
      <c r="K339" s="28"/>
      <c r="L339" s="13"/>
      <c r="M339" s="15">
        <v>39689.357000000004</v>
      </c>
      <c r="N339" s="27">
        <f t="shared" ref="N339:N344" si="83">M339*1.12</f>
        <v>44452.079840000006</v>
      </c>
      <c r="O339" s="13" t="s">
        <v>32</v>
      </c>
      <c r="P339" s="69"/>
    </row>
    <row r="340" spans="1:16" ht="103.5" customHeight="1" x14ac:dyDescent="0.25">
      <c r="A340" s="13">
        <v>77</v>
      </c>
      <c r="B340" s="12" t="s">
        <v>45</v>
      </c>
      <c r="C340" s="14" t="s">
        <v>281</v>
      </c>
      <c r="D340" s="14" t="s">
        <v>282</v>
      </c>
      <c r="E340" s="11" t="s">
        <v>20</v>
      </c>
      <c r="F340" s="14" t="s">
        <v>42</v>
      </c>
      <c r="G340" s="11" t="s">
        <v>482</v>
      </c>
      <c r="H340" s="14" t="s">
        <v>324</v>
      </c>
      <c r="I340" s="11" t="s">
        <v>41</v>
      </c>
      <c r="J340" s="13"/>
      <c r="K340" s="28"/>
      <c r="L340" s="13"/>
      <c r="M340" s="15">
        <v>396750</v>
      </c>
      <c r="N340" s="27">
        <f t="shared" si="83"/>
        <v>444360.00000000006</v>
      </c>
      <c r="O340" s="13" t="s">
        <v>32</v>
      </c>
      <c r="P340" s="69"/>
    </row>
    <row r="341" spans="1:16" ht="83.25" customHeight="1" x14ac:dyDescent="0.25">
      <c r="A341" s="13">
        <v>78</v>
      </c>
      <c r="B341" s="12" t="s">
        <v>45</v>
      </c>
      <c r="C341" s="14" t="s">
        <v>281</v>
      </c>
      <c r="D341" s="14" t="s">
        <v>282</v>
      </c>
      <c r="E341" s="11" t="s">
        <v>20</v>
      </c>
      <c r="F341" s="14" t="s">
        <v>42</v>
      </c>
      <c r="G341" s="11" t="s">
        <v>482</v>
      </c>
      <c r="H341" s="14" t="s">
        <v>323</v>
      </c>
      <c r="I341" s="11" t="s">
        <v>41</v>
      </c>
      <c r="J341" s="13"/>
      <c r="K341" s="28"/>
      <c r="L341" s="13"/>
      <c r="M341" s="15">
        <v>54000</v>
      </c>
      <c r="N341" s="27">
        <f t="shared" si="83"/>
        <v>60480.000000000007</v>
      </c>
      <c r="O341" s="13" t="s">
        <v>32</v>
      </c>
      <c r="P341" s="69"/>
    </row>
    <row r="342" spans="1:16" ht="101.25" customHeight="1" x14ac:dyDescent="0.25">
      <c r="A342" s="13">
        <v>79</v>
      </c>
      <c r="B342" s="12" t="s">
        <v>45</v>
      </c>
      <c r="C342" s="14" t="s">
        <v>283</v>
      </c>
      <c r="D342" s="14" t="s">
        <v>284</v>
      </c>
      <c r="E342" s="11" t="s">
        <v>20</v>
      </c>
      <c r="F342" s="14" t="s">
        <v>42</v>
      </c>
      <c r="G342" s="11" t="s">
        <v>482</v>
      </c>
      <c r="H342" s="14" t="s">
        <v>324</v>
      </c>
      <c r="I342" s="11" t="s">
        <v>41</v>
      </c>
      <c r="J342" s="13"/>
      <c r="K342" s="28"/>
      <c r="L342" s="13"/>
      <c r="M342" s="15">
        <v>54030</v>
      </c>
      <c r="N342" s="27">
        <f t="shared" si="83"/>
        <v>60513.600000000006</v>
      </c>
      <c r="O342" s="13" t="s">
        <v>32</v>
      </c>
      <c r="P342" s="69"/>
    </row>
    <row r="343" spans="1:16" ht="88.5" customHeight="1" x14ac:dyDescent="0.25">
      <c r="A343" s="13">
        <v>80</v>
      </c>
      <c r="B343" s="12" t="s">
        <v>45</v>
      </c>
      <c r="C343" s="14" t="s">
        <v>283</v>
      </c>
      <c r="D343" s="14" t="s">
        <v>284</v>
      </c>
      <c r="E343" s="11" t="s">
        <v>20</v>
      </c>
      <c r="F343" s="14" t="s">
        <v>42</v>
      </c>
      <c r="G343" s="11" t="s">
        <v>482</v>
      </c>
      <c r="H343" s="14" t="s">
        <v>323</v>
      </c>
      <c r="I343" s="11" t="s">
        <v>41</v>
      </c>
      <c r="J343" s="13"/>
      <c r="K343" s="28"/>
      <c r="L343" s="13"/>
      <c r="M343" s="15">
        <v>36000</v>
      </c>
      <c r="N343" s="27">
        <f t="shared" si="83"/>
        <v>40320.000000000007</v>
      </c>
      <c r="O343" s="13" t="s">
        <v>32</v>
      </c>
      <c r="P343" s="69"/>
    </row>
    <row r="344" spans="1:16" ht="122.25" customHeight="1" x14ac:dyDescent="0.25">
      <c r="A344" s="13">
        <v>81</v>
      </c>
      <c r="B344" s="12" t="s">
        <v>45</v>
      </c>
      <c r="C344" s="13" t="s">
        <v>305</v>
      </c>
      <c r="D344" s="13" t="s">
        <v>306</v>
      </c>
      <c r="E344" s="11" t="s">
        <v>20</v>
      </c>
      <c r="F344" s="14" t="s">
        <v>42</v>
      </c>
      <c r="G344" s="11" t="s">
        <v>482</v>
      </c>
      <c r="H344" s="11" t="s">
        <v>494</v>
      </c>
      <c r="I344" s="11" t="s">
        <v>41</v>
      </c>
      <c r="J344" s="13"/>
      <c r="K344" s="11"/>
      <c r="L344" s="55"/>
      <c r="M344" s="15">
        <v>3636000</v>
      </c>
      <c r="N344" s="15">
        <f t="shared" si="83"/>
        <v>4072320.0000000005</v>
      </c>
      <c r="O344" s="28" t="s">
        <v>32</v>
      </c>
      <c r="P344" s="69"/>
    </row>
    <row r="345" spans="1:16" ht="115.5" customHeight="1" x14ac:dyDescent="0.25">
      <c r="A345" s="13">
        <v>82</v>
      </c>
      <c r="B345" s="12" t="s">
        <v>45</v>
      </c>
      <c r="C345" s="13" t="s">
        <v>168</v>
      </c>
      <c r="D345" s="13" t="s">
        <v>307</v>
      </c>
      <c r="E345" s="11" t="s">
        <v>20</v>
      </c>
      <c r="F345" s="14" t="s">
        <v>42</v>
      </c>
      <c r="G345" s="11" t="s">
        <v>482</v>
      </c>
      <c r="H345" s="11" t="s">
        <v>494</v>
      </c>
      <c r="I345" s="11" t="s">
        <v>41</v>
      </c>
      <c r="J345" s="13"/>
      <c r="K345" s="11"/>
      <c r="L345" s="55"/>
      <c r="M345" s="15">
        <v>3522000</v>
      </c>
      <c r="N345" s="15">
        <f>M345*1.12</f>
        <v>3944640.0000000005</v>
      </c>
      <c r="O345" s="28" t="s">
        <v>32</v>
      </c>
      <c r="P345" s="69"/>
    </row>
    <row r="346" spans="1:16" ht="114" customHeight="1" x14ac:dyDescent="0.25">
      <c r="A346" s="13">
        <v>83</v>
      </c>
      <c r="B346" s="12" t="s">
        <v>45</v>
      </c>
      <c r="C346" s="13" t="s">
        <v>308</v>
      </c>
      <c r="D346" s="13" t="s">
        <v>308</v>
      </c>
      <c r="E346" s="11" t="s">
        <v>20</v>
      </c>
      <c r="F346" s="14" t="s">
        <v>42</v>
      </c>
      <c r="G346" s="11" t="s">
        <v>482</v>
      </c>
      <c r="H346" s="11" t="s">
        <v>494</v>
      </c>
      <c r="I346" s="11" t="s">
        <v>41</v>
      </c>
      <c r="J346" s="13"/>
      <c r="K346" s="11"/>
      <c r="L346" s="55"/>
      <c r="M346" s="15">
        <v>1300000</v>
      </c>
      <c r="N346" s="15">
        <f>M346*1.12</f>
        <v>1456000.0000000002</v>
      </c>
      <c r="O346" s="28" t="s">
        <v>32</v>
      </c>
      <c r="P346" s="69"/>
    </row>
    <row r="347" spans="1:16" ht="80.25" customHeight="1" x14ac:dyDescent="0.25">
      <c r="A347" s="13">
        <v>84</v>
      </c>
      <c r="B347" s="12" t="s">
        <v>45</v>
      </c>
      <c r="C347" s="13" t="s">
        <v>315</v>
      </c>
      <c r="D347" s="13" t="s">
        <v>281</v>
      </c>
      <c r="E347" s="11" t="s">
        <v>20</v>
      </c>
      <c r="F347" s="14" t="s">
        <v>42</v>
      </c>
      <c r="G347" s="11" t="s">
        <v>482</v>
      </c>
      <c r="H347" s="14" t="s">
        <v>161</v>
      </c>
      <c r="I347" s="13" t="s">
        <v>41</v>
      </c>
      <c r="J347" s="13"/>
      <c r="K347" s="13"/>
      <c r="L347" s="18"/>
      <c r="M347" s="15">
        <v>276000</v>
      </c>
      <c r="N347" s="15">
        <f>M347*1.12</f>
        <v>309120.00000000006</v>
      </c>
      <c r="O347" s="28" t="s">
        <v>32</v>
      </c>
      <c r="P347" s="69"/>
    </row>
    <row r="348" spans="1:16" ht="74.25" customHeight="1" x14ac:dyDescent="0.25">
      <c r="A348" s="13">
        <v>85</v>
      </c>
      <c r="B348" s="12" t="s">
        <v>45</v>
      </c>
      <c r="C348" s="13" t="s">
        <v>315</v>
      </c>
      <c r="D348" s="13" t="s">
        <v>316</v>
      </c>
      <c r="E348" s="11" t="s">
        <v>20</v>
      </c>
      <c r="F348" s="14" t="s">
        <v>42</v>
      </c>
      <c r="G348" s="11" t="s">
        <v>482</v>
      </c>
      <c r="H348" s="14" t="s">
        <v>161</v>
      </c>
      <c r="I348" s="13" t="s">
        <v>41</v>
      </c>
      <c r="J348" s="13"/>
      <c r="K348" s="13"/>
      <c r="L348" s="18"/>
      <c r="M348" s="15">
        <v>150000</v>
      </c>
      <c r="N348" s="15">
        <f>M348*1.12</f>
        <v>168000.00000000003</v>
      </c>
      <c r="O348" s="28" t="s">
        <v>32</v>
      </c>
      <c r="P348" s="69"/>
    </row>
    <row r="349" spans="1:16" ht="73.5" customHeight="1" x14ac:dyDescent="0.25">
      <c r="A349" s="13">
        <v>86</v>
      </c>
      <c r="B349" s="12" t="s">
        <v>45</v>
      </c>
      <c r="C349" s="13" t="s">
        <v>319</v>
      </c>
      <c r="D349" s="13" t="s">
        <v>317</v>
      </c>
      <c r="E349" s="11" t="s">
        <v>20</v>
      </c>
      <c r="F349" s="14" t="s">
        <v>42</v>
      </c>
      <c r="G349" s="11" t="s">
        <v>482</v>
      </c>
      <c r="H349" s="14" t="s">
        <v>161</v>
      </c>
      <c r="I349" s="13" t="s">
        <v>320</v>
      </c>
      <c r="J349" s="13"/>
      <c r="K349" s="13"/>
      <c r="L349" s="13"/>
      <c r="M349" s="15">
        <v>96000</v>
      </c>
      <c r="N349" s="15">
        <v>107520</v>
      </c>
      <c r="O349" s="28" t="s">
        <v>32</v>
      </c>
      <c r="P349" s="69"/>
    </row>
    <row r="350" spans="1:16" ht="69.75" customHeight="1" x14ac:dyDescent="0.25">
      <c r="A350" s="13">
        <v>87</v>
      </c>
      <c r="B350" s="12" t="s">
        <v>45</v>
      </c>
      <c r="C350" s="13" t="s">
        <v>318</v>
      </c>
      <c r="D350" s="13" t="s">
        <v>318</v>
      </c>
      <c r="E350" s="11" t="s">
        <v>20</v>
      </c>
      <c r="F350" s="14" t="s">
        <v>42</v>
      </c>
      <c r="G350" s="11" t="s">
        <v>482</v>
      </c>
      <c r="H350" s="14" t="s">
        <v>161</v>
      </c>
      <c r="I350" s="13" t="s">
        <v>41</v>
      </c>
      <c r="J350" s="13"/>
      <c r="K350" s="13"/>
      <c r="L350" s="18"/>
      <c r="M350" s="15">
        <v>60000</v>
      </c>
      <c r="N350" s="15">
        <v>67200</v>
      </c>
      <c r="O350" s="28" t="s">
        <v>32</v>
      </c>
      <c r="P350" s="69"/>
    </row>
    <row r="351" spans="1:16" ht="78" customHeight="1" x14ac:dyDescent="0.25">
      <c r="A351" s="13">
        <v>88</v>
      </c>
      <c r="B351" s="12" t="s">
        <v>45</v>
      </c>
      <c r="C351" s="13" t="s">
        <v>331</v>
      </c>
      <c r="D351" s="13" t="s">
        <v>331</v>
      </c>
      <c r="E351" s="11" t="s">
        <v>20</v>
      </c>
      <c r="F351" s="14" t="s">
        <v>42</v>
      </c>
      <c r="G351" s="11" t="s">
        <v>482</v>
      </c>
      <c r="H351" s="14" t="s">
        <v>161</v>
      </c>
      <c r="I351" s="13" t="s">
        <v>41</v>
      </c>
      <c r="J351" s="13"/>
      <c r="K351" s="13"/>
      <c r="L351" s="18"/>
      <c r="M351" s="15">
        <v>181300</v>
      </c>
      <c r="N351" s="15">
        <f t="shared" ref="N351:N398" si="84">M351*1.12</f>
        <v>203056.00000000003</v>
      </c>
      <c r="O351" s="28" t="s">
        <v>32</v>
      </c>
      <c r="P351" s="69"/>
    </row>
    <row r="352" spans="1:16" ht="108.75" customHeight="1" x14ac:dyDescent="0.25">
      <c r="A352" s="13">
        <v>89</v>
      </c>
      <c r="B352" s="12" t="s">
        <v>45</v>
      </c>
      <c r="C352" s="13" t="s">
        <v>335</v>
      </c>
      <c r="D352" s="13" t="s">
        <v>335</v>
      </c>
      <c r="E352" s="11" t="s">
        <v>20</v>
      </c>
      <c r="F352" s="14" t="s">
        <v>42</v>
      </c>
      <c r="G352" s="11" t="s">
        <v>482</v>
      </c>
      <c r="H352" s="11" t="s">
        <v>510</v>
      </c>
      <c r="I352" s="13" t="s">
        <v>41</v>
      </c>
      <c r="J352" s="13"/>
      <c r="K352" s="13"/>
      <c r="L352" s="18"/>
      <c r="M352" s="15">
        <v>104860</v>
      </c>
      <c r="N352" s="15">
        <f t="shared" si="84"/>
        <v>117443.20000000001</v>
      </c>
      <c r="O352" s="28" t="s">
        <v>32</v>
      </c>
      <c r="P352" s="69"/>
    </row>
    <row r="353" spans="1:16" ht="98.25" customHeight="1" x14ac:dyDescent="0.25">
      <c r="A353" s="13">
        <v>90</v>
      </c>
      <c r="B353" s="12" t="s">
        <v>45</v>
      </c>
      <c r="C353" s="13" t="s">
        <v>336</v>
      </c>
      <c r="D353" s="13" t="s">
        <v>336</v>
      </c>
      <c r="E353" s="11" t="s">
        <v>20</v>
      </c>
      <c r="F353" s="14" t="s">
        <v>42</v>
      </c>
      <c r="G353" s="11" t="s">
        <v>482</v>
      </c>
      <c r="H353" s="11" t="s">
        <v>510</v>
      </c>
      <c r="I353" s="13" t="s">
        <v>41</v>
      </c>
      <c r="J353" s="13"/>
      <c r="K353" s="13"/>
      <c r="L353" s="18"/>
      <c r="M353" s="15">
        <v>32100</v>
      </c>
      <c r="N353" s="15">
        <f t="shared" si="84"/>
        <v>35952</v>
      </c>
      <c r="O353" s="28" t="s">
        <v>32</v>
      </c>
      <c r="P353" s="69"/>
    </row>
    <row r="354" spans="1:16" ht="105.75" customHeight="1" x14ac:dyDescent="0.25">
      <c r="A354" s="13">
        <v>91</v>
      </c>
      <c r="B354" s="12" t="s">
        <v>45</v>
      </c>
      <c r="C354" s="13" t="s">
        <v>337</v>
      </c>
      <c r="D354" s="13" t="s">
        <v>337</v>
      </c>
      <c r="E354" s="11" t="s">
        <v>20</v>
      </c>
      <c r="F354" s="14" t="s">
        <v>42</v>
      </c>
      <c r="G354" s="11" t="s">
        <v>482</v>
      </c>
      <c r="H354" s="11" t="s">
        <v>510</v>
      </c>
      <c r="I354" s="13" t="s">
        <v>41</v>
      </c>
      <c r="J354" s="13"/>
      <c r="K354" s="13"/>
      <c r="L354" s="18"/>
      <c r="M354" s="15">
        <v>896000</v>
      </c>
      <c r="N354" s="15">
        <f t="shared" si="84"/>
        <v>1003520.0000000001</v>
      </c>
      <c r="O354" s="28" t="s">
        <v>32</v>
      </c>
      <c r="P354" s="69"/>
    </row>
    <row r="355" spans="1:16" ht="105.75" customHeight="1" x14ac:dyDescent="0.25">
      <c r="A355" s="13">
        <v>92</v>
      </c>
      <c r="B355" s="12" t="s">
        <v>45</v>
      </c>
      <c r="C355" s="13" t="s">
        <v>338</v>
      </c>
      <c r="D355" s="13" t="s">
        <v>492</v>
      </c>
      <c r="E355" s="11" t="s">
        <v>20</v>
      </c>
      <c r="F355" s="14" t="s">
        <v>42</v>
      </c>
      <c r="G355" s="11" t="s">
        <v>482</v>
      </c>
      <c r="H355" s="11" t="s">
        <v>510</v>
      </c>
      <c r="I355" s="13" t="s">
        <v>41</v>
      </c>
      <c r="J355" s="13"/>
      <c r="K355" s="13"/>
      <c r="L355" s="18"/>
      <c r="M355" s="15">
        <v>744720</v>
      </c>
      <c r="N355" s="15">
        <f t="shared" si="84"/>
        <v>834086.40000000002</v>
      </c>
      <c r="O355" s="28" t="s">
        <v>32</v>
      </c>
      <c r="P355" s="69"/>
    </row>
    <row r="356" spans="1:16" ht="111" customHeight="1" x14ac:dyDescent="0.25">
      <c r="A356" s="13">
        <v>93</v>
      </c>
      <c r="B356" s="12" t="s">
        <v>45</v>
      </c>
      <c r="C356" s="13" t="s">
        <v>338</v>
      </c>
      <c r="D356" s="13" t="s">
        <v>493</v>
      </c>
      <c r="E356" s="11" t="s">
        <v>20</v>
      </c>
      <c r="F356" s="14" t="s">
        <v>42</v>
      </c>
      <c r="G356" s="11" t="s">
        <v>482</v>
      </c>
      <c r="H356" s="11" t="s">
        <v>510</v>
      </c>
      <c r="I356" s="13" t="s">
        <v>41</v>
      </c>
      <c r="J356" s="13"/>
      <c r="K356" s="13"/>
      <c r="L356" s="18"/>
      <c r="M356" s="15">
        <v>136080</v>
      </c>
      <c r="N356" s="15">
        <f t="shared" ref="N356" si="85">M356*1.12</f>
        <v>152409.60000000001</v>
      </c>
      <c r="O356" s="28" t="s">
        <v>32</v>
      </c>
      <c r="P356" s="69"/>
    </row>
    <row r="357" spans="1:16" ht="100.5" customHeight="1" x14ac:dyDescent="0.25">
      <c r="A357" s="13">
        <v>94</v>
      </c>
      <c r="B357" s="12" t="s">
        <v>45</v>
      </c>
      <c r="C357" s="14" t="s">
        <v>132</v>
      </c>
      <c r="D357" s="14" t="s">
        <v>132</v>
      </c>
      <c r="E357" s="11" t="s">
        <v>20</v>
      </c>
      <c r="F357" s="14" t="s">
        <v>42</v>
      </c>
      <c r="G357" s="11" t="s">
        <v>482</v>
      </c>
      <c r="H357" s="11" t="s">
        <v>510</v>
      </c>
      <c r="I357" s="13" t="s">
        <v>41</v>
      </c>
      <c r="J357" s="13"/>
      <c r="K357" s="13"/>
      <c r="L357" s="18"/>
      <c r="M357" s="15">
        <v>250000</v>
      </c>
      <c r="N357" s="15">
        <f t="shared" si="84"/>
        <v>280000</v>
      </c>
      <c r="O357" s="28" t="s">
        <v>32</v>
      </c>
      <c r="P357" s="69"/>
    </row>
    <row r="358" spans="1:16" ht="78" customHeight="1" x14ac:dyDescent="0.25">
      <c r="A358" s="13">
        <v>95</v>
      </c>
      <c r="B358" s="12" t="s">
        <v>45</v>
      </c>
      <c r="C358" s="14" t="s">
        <v>406</v>
      </c>
      <c r="D358" s="14" t="s">
        <v>406</v>
      </c>
      <c r="E358" s="11" t="s">
        <v>20</v>
      </c>
      <c r="F358" s="14" t="s">
        <v>42</v>
      </c>
      <c r="G358" s="11" t="s">
        <v>482</v>
      </c>
      <c r="H358" s="11" t="s">
        <v>510</v>
      </c>
      <c r="I358" s="13" t="s">
        <v>41</v>
      </c>
      <c r="J358" s="13"/>
      <c r="K358" s="13"/>
      <c r="L358" s="18"/>
      <c r="M358" s="15">
        <v>350000</v>
      </c>
      <c r="N358" s="15">
        <f t="shared" ref="N358" si="86">M358*1.12</f>
        <v>392000.00000000006</v>
      </c>
      <c r="O358" s="28" t="s">
        <v>32</v>
      </c>
      <c r="P358" s="69"/>
    </row>
    <row r="359" spans="1:16" ht="107.25" customHeight="1" x14ac:dyDescent="0.25">
      <c r="A359" s="13">
        <v>96</v>
      </c>
      <c r="B359" s="12" t="s">
        <v>45</v>
      </c>
      <c r="C359" s="14" t="s">
        <v>131</v>
      </c>
      <c r="D359" s="14" t="s">
        <v>131</v>
      </c>
      <c r="E359" s="11" t="s">
        <v>20</v>
      </c>
      <c r="F359" s="14" t="s">
        <v>42</v>
      </c>
      <c r="G359" s="11" t="s">
        <v>482</v>
      </c>
      <c r="H359" s="11" t="s">
        <v>510</v>
      </c>
      <c r="I359" s="13" t="s">
        <v>41</v>
      </c>
      <c r="J359" s="13"/>
      <c r="K359" s="13"/>
      <c r="L359" s="18"/>
      <c r="M359" s="15">
        <v>150000</v>
      </c>
      <c r="N359" s="15">
        <f t="shared" si="84"/>
        <v>168000.00000000003</v>
      </c>
      <c r="O359" s="28" t="s">
        <v>32</v>
      </c>
      <c r="P359" s="69"/>
    </row>
    <row r="360" spans="1:16" ht="78" customHeight="1" x14ac:dyDescent="0.25">
      <c r="A360" s="13">
        <v>97</v>
      </c>
      <c r="B360" s="12" t="s">
        <v>45</v>
      </c>
      <c r="C360" s="14" t="s">
        <v>340</v>
      </c>
      <c r="D360" s="14" t="s">
        <v>340</v>
      </c>
      <c r="E360" s="13" t="s">
        <v>24</v>
      </c>
      <c r="F360" s="14" t="s">
        <v>42</v>
      </c>
      <c r="G360" s="11" t="s">
        <v>482</v>
      </c>
      <c r="H360" s="14" t="s">
        <v>420</v>
      </c>
      <c r="I360" s="13" t="s">
        <v>41</v>
      </c>
      <c r="J360" s="13"/>
      <c r="K360" s="13"/>
      <c r="L360" s="18"/>
      <c r="M360" s="15">
        <v>235468950</v>
      </c>
      <c r="N360" s="15">
        <f t="shared" si="84"/>
        <v>263725224.00000003</v>
      </c>
      <c r="O360" s="28" t="s">
        <v>32</v>
      </c>
      <c r="P360" s="69"/>
    </row>
    <row r="361" spans="1:16" ht="78" customHeight="1" x14ac:dyDescent="0.25">
      <c r="A361" s="13">
        <v>98</v>
      </c>
      <c r="B361" s="12" t="s">
        <v>45</v>
      </c>
      <c r="C361" s="14" t="s">
        <v>422</v>
      </c>
      <c r="D361" s="14" t="s">
        <v>422</v>
      </c>
      <c r="E361" s="13" t="s">
        <v>20</v>
      </c>
      <c r="F361" s="14" t="s">
        <v>42</v>
      </c>
      <c r="G361" s="11" t="s">
        <v>482</v>
      </c>
      <c r="H361" s="80" t="s">
        <v>421</v>
      </c>
      <c r="I361" s="13" t="s">
        <v>41</v>
      </c>
      <c r="J361" s="13"/>
      <c r="K361" s="13"/>
      <c r="L361" s="18"/>
      <c r="M361" s="15">
        <v>75754224</v>
      </c>
      <c r="N361" s="15">
        <f t="shared" ref="N361" si="87">M361*1.12</f>
        <v>84844730.88000001</v>
      </c>
      <c r="O361" s="28" t="s">
        <v>32</v>
      </c>
      <c r="P361" s="69"/>
    </row>
    <row r="362" spans="1:16" ht="93.75" customHeight="1" x14ac:dyDescent="0.25">
      <c r="A362" s="13">
        <v>99</v>
      </c>
      <c r="B362" s="12" t="s">
        <v>45</v>
      </c>
      <c r="C362" s="14" t="s">
        <v>341</v>
      </c>
      <c r="D362" s="14" t="s">
        <v>145</v>
      </c>
      <c r="E362" s="11" t="s">
        <v>20</v>
      </c>
      <c r="F362" s="14" t="s">
        <v>42</v>
      </c>
      <c r="G362" s="11" t="s">
        <v>482</v>
      </c>
      <c r="H362" s="11" t="s">
        <v>497</v>
      </c>
      <c r="I362" s="13" t="s">
        <v>41</v>
      </c>
      <c r="J362" s="13"/>
      <c r="K362" s="13"/>
      <c r="L362" s="18"/>
      <c r="M362" s="15">
        <v>169000</v>
      </c>
      <c r="N362" s="15">
        <f t="shared" si="84"/>
        <v>189280.00000000003</v>
      </c>
      <c r="O362" s="28" t="s">
        <v>32</v>
      </c>
      <c r="P362" s="69"/>
    </row>
    <row r="363" spans="1:16" ht="78" customHeight="1" x14ac:dyDescent="0.25">
      <c r="A363" s="13">
        <v>100</v>
      </c>
      <c r="B363" s="12" t="s">
        <v>45</v>
      </c>
      <c r="C363" s="14" t="s">
        <v>341</v>
      </c>
      <c r="D363" s="14" t="s">
        <v>145</v>
      </c>
      <c r="E363" s="11" t="s">
        <v>20</v>
      </c>
      <c r="F363" s="14" t="s">
        <v>42</v>
      </c>
      <c r="G363" s="11" t="s">
        <v>482</v>
      </c>
      <c r="H363" s="11" t="s">
        <v>137</v>
      </c>
      <c r="I363" s="13" t="s">
        <v>41</v>
      </c>
      <c r="J363" s="13"/>
      <c r="K363" s="13"/>
      <c r="L363" s="18"/>
      <c r="M363" s="15">
        <v>38000</v>
      </c>
      <c r="N363" s="15">
        <f t="shared" si="84"/>
        <v>42560.000000000007</v>
      </c>
      <c r="O363" s="28" t="s">
        <v>32</v>
      </c>
      <c r="P363" s="69"/>
    </row>
    <row r="364" spans="1:16" ht="93" customHeight="1" x14ac:dyDescent="0.25">
      <c r="A364" s="13">
        <v>101</v>
      </c>
      <c r="B364" s="12" t="s">
        <v>45</v>
      </c>
      <c r="C364" s="14" t="s">
        <v>342</v>
      </c>
      <c r="D364" s="14" t="s">
        <v>342</v>
      </c>
      <c r="E364" s="11" t="s">
        <v>20</v>
      </c>
      <c r="F364" s="14" t="s">
        <v>42</v>
      </c>
      <c r="G364" s="11" t="s">
        <v>482</v>
      </c>
      <c r="H364" s="11" t="s">
        <v>497</v>
      </c>
      <c r="I364" s="13" t="s">
        <v>41</v>
      </c>
      <c r="J364" s="13"/>
      <c r="K364" s="13"/>
      <c r="L364" s="18"/>
      <c r="M364" s="15">
        <v>186000</v>
      </c>
      <c r="N364" s="15">
        <f t="shared" si="84"/>
        <v>208320.00000000003</v>
      </c>
      <c r="O364" s="28" t="s">
        <v>32</v>
      </c>
      <c r="P364" s="69"/>
    </row>
    <row r="365" spans="1:16" ht="78" customHeight="1" x14ac:dyDescent="0.25">
      <c r="A365" s="13">
        <v>102</v>
      </c>
      <c r="B365" s="12" t="s">
        <v>45</v>
      </c>
      <c r="C365" s="14" t="s">
        <v>342</v>
      </c>
      <c r="D365" s="14" t="s">
        <v>342</v>
      </c>
      <c r="E365" s="11" t="s">
        <v>20</v>
      </c>
      <c r="F365" s="14" t="s">
        <v>42</v>
      </c>
      <c r="G365" s="11" t="s">
        <v>482</v>
      </c>
      <c r="H365" s="11" t="s">
        <v>137</v>
      </c>
      <c r="I365" s="13" t="s">
        <v>41</v>
      </c>
      <c r="J365" s="13"/>
      <c r="K365" s="13"/>
      <c r="L365" s="18"/>
      <c r="M365" s="15">
        <v>186000</v>
      </c>
      <c r="N365" s="15">
        <f t="shared" si="84"/>
        <v>208320.00000000003</v>
      </c>
      <c r="O365" s="13" t="s">
        <v>32</v>
      </c>
      <c r="P365" s="69"/>
    </row>
    <row r="366" spans="1:16" ht="95.25" customHeight="1" x14ac:dyDescent="0.25">
      <c r="A366" s="13">
        <v>103</v>
      </c>
      <c r="B366" s="12" t="s">
        <v>45</v>
      </c>
      <c r="C366" s="14" t="s">
        <v>343</v>
      </c>
      <c r="D366" s="14" t="s">
        <v>343</v>
      </c>
      <c r="E366" s="11" t="s">
        <v>20</v>
      </c>
      <c r="F366" s="14" t="s">
        <v>42</v>
      </c>
      <c r="G366" s="11" t="s">
        <v>482</v>
      </c>
      <c r="H366" s="11" t="s">
        <v>497</v>
      </c>
      <c r="I366" s="13" t="s">
        <v>41</v>
      </c>
      <c r="J366" s="13"/>
      <c r="K366" s="13"/>
      <c r="L366" s="18"/>
      <c r="M366" s="15">
        <v>186000</v>
      </c>
      <c r="N366" s="15">
        <f t="shared" si="84"/>
        <v>208320.00000000003</v>
      </c>
      <c r="O366" s="28" t="s">
        <v>32</v>
      </c>
      <c r="P366" s="69"/>
    </row>
    <row r="367" spans="1:16" ht="78" customHeight="1" x14ac:dyDescent="0.25">
      <c r="A367" s="13">
        <v>104</v>
      </c>
      <c r="B367" s="12" t="s">
        <v>45</v>
      </c>
      <c r="C367" s="14" t="s">
        <v>343</v>
      </c>
      <c r="D367" s="14" t="s">
        <v>343</v>
      </c>
      <c r="E367" s="11" t="s">
        <v>20</v>
      </c>
      <c r="F367" s="14" t="s">
        <v>42</v>
      </c>
      <c r="G367" s="11" t="s">
        <v>482</v>
      </c>
      <c r="H367" s="11" t="s">
        <v>137</v>
      </c>
      <c r="I367" s="13" t="s">
        <v>41</v>
      </c>
      <c r="J367" s="13"/>
      <c r="K367" s="13"/>
      <c r="L367" s="18"/>
      <c r="M367" s="15">
        <v>186000</v>
      </c>
      <c r="N367" s="15">
        <f t="shared" si="84"/>
        <v>208320.00000000003</v>
      </c>
      <c r="O367" s="13" t="s">
        <v>32</v>
      </c>
      <c r="P367" s="69"/>
    </row>
    <row r="368" spans="1:16" ht="97.5" customHeight="1" x14ac:dyDescent="0.25">
      <c r="A368" s="13">
        <v>105</v>
      </c>
      <c r="B368" s="12" t="s">
        <v>45</v>
      </c>
      <c r="C368" s="82" t="s">
        <v>168</v>
      </c>
      <c r="D368" s="82" t="s">
        <v>307</v>
      </c>
      <c r="E368" s="11" t="s">
        <v>20</v>
      </c>
      <c r="F368" s="14" t="s">
        <v>42</v>
      </c>
      <c r="G368" s="11" t="s">
        <v>482</v>
      </c>
      <c r="H368" s="80" t="s">
        <v>351</v>
      </c>
      <c r="I368" s="80" t="s">
        <v>41</v>
      </c>
      <c r="J368" s="82"/>
      <c r="K368" s="80"/>
      <c r="L368" s="39"/>
      <c r="M368" s="34">
        <v>1700000</v>
      </c>
      <c r="N368" s="39">
        <f t="shared" si="84"/>
        <v>1904000.0000000002</v>
      </c>
      <c r="O368" s="83" t="s">
        <v>32</v>
      </c>
      <c r="P368" s="69"/>
    </row>
    <row r="369" spans="1:15" ht="117.75" customHeight="1" x14ac:dyDescent="0.25">
      <c r="A369" s="13">
        <v>106</v>
      </c>
      <c r="B369" s="12" t="s">
        <v>45</v>
      </c>
      <c r="C369" s="14" t="s">
        <v>383</v>
      </c>
      <c r="D369" s="14" t="s">
        <v>384</v>
      </c>
      <c r="E369" s="11" t="s">
        <v>20</v>
      </c>
      <c r="F369" s="14" t="s">
        <v>42</v>
      </c>
      <c r="G369" s="11" t="s">
        <v>482</v>
      </c>
      <c r="H369" s="13" t="s">
        <v>199</v>
      </c>
      <c r="I369" s="11" t="s">
        <v>41</v>
      </c>
      <c r="J369" s="13"/>
      <c r="K369" s="13"/>
      <c r="L369" s="15"/>
      <c r="M369" s="15">
        <v>128700</v>
      </c>
      <c r="N369" s="15">
        <f>M369*1.12</f>
        <v>144144</v>
      </c>
      <c r="O369" s="28" t="s">
        <v>32</v>
      </c>
    </row>
    <row r="370" spans="1:15" ht="111.75" customHeight="1" x14ac:dyDescent="0.25">
      <c r="A370" s="13">
        <v>107</v>
      </c>
      <c r="B370" s="12" t="s">
        <v>45</v>
      </c>
      <c r="C370" s="14" t="s">
        <v>385</v>
      </c>
      <c r="D370" s="14" t="s">
        <v>386</v>
      </c>
      <c r="E370" s="11" t="s">
        <v>20</v>
      </c>
      <c r="F370" s="14" t="s">
        <v>42</v>
      </c>
      <c r="G370" s="11" t="s">
        <v>482</v>
      </c>
      <c r="H370" s="13" t="s">
        <v>199</v>
      </c>
      <c r="I370" s="11" t="s">
        <v>41</v>
      </c>
      <c r="J370" s="13"/>
      <c r="K370" s="13"/>
      <c r="L370" s="15"/>
      <c r="M370" s="15">
        <v>860000</v>
      </c>
      <c r="N370" s="15">
        <f>M370*1.12</f>
        <v>963200.00000000012</v>
      </c>
      <c r="O370" s="28" t="s">
        <v>32</v>
      </c>
    </row>
    <row r="371" spans="1:15" ht="111.75" customHeight="1" x14ac:dyDescent="0.25">
      <c r="A371" s="13">
        <v>108</v>
      </c>
      <c r="B371" s="12" t="s">
        <v>45</v>
      </c>
      <c r="C371" s="71" t="s">
        <v>401</v>
      </c>
      <c r="D371" s="71" t="s">
        <v>401</v>
      </c>
      <c r="E371" s="11" t="s">
        <v>20</v>
      </c>
      <c r="F371" s="14" t="s">
        <v>42</v>
      </c>
      <c r="G371" s="11" t="s">
        <v>482</v>
      </c>
      <c r="H371" s="11" t="s">
        <v>500</v>
      </c>
      <c r="I371" s="11" t="s">
        <v>41</v>
      </c>
      <c r="J371" s="13"/>
      <c r="K371" s="13"/>
      <c r="L371" s="13"/>
      <c r="M371" s="15">
        <v>60000</v>
      </c>
      <c r="N371" s="15">
        <f>M371*1.12</f>
        <v>67200</v>
      </c>
      <c r="O371" s="28" t="s">
        <v>32</v>
      </c>
    </row>
    <row r="372" spans="1:15" ht="111.75" customHeight="1" x14ac:dyDescent="0.25">
      <c r="A372" s="13">
        <v>109</v>
      </c>
      <c r="B372" s="12" t="s">
        <v>45</v>
      </c>
      <c r="C372" s="14" t="s">
        <v>402</v>
      </c>
      <c r="D372" s="14" t="s">
        <v>402</v>
      </c>
      <c r="E372" s="13" t="s">
        <v>20</v>
      </c>
      <c r="F372" s="14" t="s">
        <v>42</v>
      </c>
      <c r="G372" s="11" t="s">
        <v>482</v>
      </c>
      <c r="H372" s="11" t="s">
        <v>500</v>
      </c>
      <c r="I372" s="11" t="s">
        <v>41</v>
      </c>
      <c r="J372" s="13"/>
      <c r="K372" s="13"/>
      <c r="L372" s="13"/>
      <c r="M372" s="15">
        <v>280000</v>
      </c>
      <c r="N372" s="15">
        <f>M372*1.12</f>
        <v>313600.00000000006</v>
      </c>
      <c r="O372" s="28" t="s">
        <v>32</v>
      </c>
    </row>
    <row r="373" spans="1:15" ht="111.75" customHeight="1" x14ac:dyDescent="0.25">
      <c r="A373" s="13">
        <v>110</v>
      </c>
      <c r="B373" s="12" t="s">
        <v>45</v>
      </c>
      <c r="C373" s="14" t="s">
        <v>403</v>
      </c>
      <c r="D373" s="14" t="s">
        <v>403</v>
      </c>
      <c r="E373" s="13" t="s">
        <v>20</v>
      </c>
      <c r="F373" s="14" t="s">
        <v>42</v>
      </c>
      <c r="G373" s="11" t="s">
        <v>482</v>
      </c>
      <c r="H373" s="11" t="s">
        <v>500</v>
      </c>
      <c r="I373" s="11" t="s">
        <v>41</v>
      </c>
      <c r="J373" s="13"/>
      <c r="K373" s="13"/>
      <c r="L373" s="13"/>
      <c r="M373" s="15">
        <v>153097</v>
      </c>
      <c r="N373" s="15">
        <f>M373*1.12</f>
        <v>171468.64</v>
      </c>
      <c r="O373" s="28" t="s">
        <v>32</v>
      </c>
    </row>
    <row r="374" spans="1:15" ht="111.75" customHeight="1" x14ac:dyDescent="0.25">
      <c r="A374" s="13">
        <v>111</v>
      </c>
      <c r="B374" s="12" t="s">
        <v>45</v>
      </c>
      <c r="C374" s="14" t="s">
        <v>404</v>
      </c>
      <c r="D374" s="14" t="s">
        <v>405</v>
      </c>
      <c r="E374" s="11" t="s">
        <v>20</v>
      </c>
      <c r="F374" s="14" t="s">
        <v>42</v>
      </c>
      <c r="G374" s="11" t="s">
        <v>482</v>
      </c>
      <c r="H374" s="11" t="s">
        <v>500</v>
      </c>
      <c r="I374" s="11" t="s">
        <v>41</v>
      </c>
      <c r="J374" s="13"/>
      <c r="K374" s="13"/>
      <c r="L374" s="13"/>
      <c r="M374" s="15">
        <v>240000</v>
      </c>
      <c r="N374" s="15">
        <v>268800</v>
      </c>
      <c r="O374" s="28" t="s">
        <v>32</v>
      </c>
    </row>
    <row r="375" spans="1:15" ht="111.75" customHeight="1" x14ac:dyDescent="0.25">
      <c r="A375" s="13">
        <v>112</v>
      </c>
      <c r="B375" s="12" t="s">
        <v>45</v>
      </c>
      <c r="C375" s="14" t="s">
        <v>429</v>
      </c>
      <c r="D375" s="14" t="s">
        <v>430</v>
      </c>
      <c r="E375" s="11" t="s">
        <v>20</v>
      </c>
      <c r="F375" s="14" t="s">
        <v>42</v>
      </c>
      <c r="G375" s="11" t="s">
        <v>482</v>
      </c>
      <c r="H375" s="11" t="s">
        <v>506</v>
      </c>
      <c r="I375" s="11" t="s">
        <v>431</v>
      </c>
      <c r="J375" s="13"/>
      <c r="K375" s="13"/>
      <c r="L375" s="13"/>
      <c r="M375" s="15">
        <v>59686000</v>
      </c>
      <c r="N375" s="15">
        <f>M375*1.12</f>
        <v>66848320.000000007</v>
      </c>
      <c r="O375" s="28" t="s">
        <v>32</v>
      </c>
    </row>
    <row r="376" spans="1:15" ht="149.25" customHeight="1" x14ac:dyDescent="0.25">
      <c r="A376" s="13">
        <v>113</v>
      </c>
      <c r="B376" s="12" t="s">
        <v>45</v>
      </c>
      <c r="C376" s="40" t="s">
        <v>432</v>
      </c>
      <c r="D376" s="40" t="s">
        <v>433</v>
      </c>
      <c r="E376" s="13" t="s">
        <v>20</v>
      </c>
      <c r="F376" s="14" t="s">
        <v>42</v>
      </c>
      <c r="G376" s="11" t="s">
        <v>482</v>
      </c>
      <c r="H376" s="11" t="s">
        <v>499</v>
      </c>
      <c r="I376" s="11" t="s">
        <v>41</v>
      </c>
      <c r="J376" s="13"/>
      <c r="K376" s="13"/>
      <c r="L376" s="13"/>
      <c r="M376" s="15">
        <v>113000</v>
      </c>
      <c r="N376" s="15">
        <f t="shared" ref="N376:N378" si="88">M376*1.12</f>
        <v>126560.00000000001</v>
      </c>
      <c r="O376" s="28" t="s">
        <v>32</v>
      </c>
    </row>
    <row r="377" spans="1:15" ht="133.5" customHeight="1" x14ac:dyDescent="0.25">
      <c r="A377" s="13">
        <v>114</v>
      </c>
      <c r="B377" s="12" t="s">
        <v>45</v>
      </c>
      <c r="C377" s="40" t="s">
        <v>434</v>
      </c>
      <c r="D377" s="40" t="s">
        <v>435</v>
      </c>
      <c r="E377" s="13" t="s">
        <v>20</v>
      </c>
      <c r="F377" s="14" t="s">
        <v>42</v>
      </c>
      <c r="G377" s="11" t="s">
        <v>482</v>
      </c>
      <c r="H377" s="11" t="s">
        <v>499</v>
      </c>
      <c r="I377" s="11" t="s">
        <v>41</v>
      </c>
      <c r="J377" s="13"/>
      <c r="K377" s="13"/>
      <c r="L377" s="13"/>
      <c r="M377" s="15">
        <v>150000</v>
      </c>
      <c r="N377" s="15">
        <f t="shared" si="88"/>
        <v>168000.00000000003</v>
      </c>
      <c r="O377" s="28" t="s">
        <v>32</v>
      </c>
    </row>
    <row r="378" spans="1:15" ht="111.75" customHeight="1" x14ac:dyDescent="0.25">
      <c r="A378" s="13">
        <v>115</v>
      </c>
      <c r="B378" s="12" t="s">
        <v>45</v>
      </c>
      <c r="C378" s="14" t="s">
        <v>436</v>
      </c>
      <c r="D378" s="14" t="s">
        <v>436</v>
      </c>
      <c r="E378" s="13" t="s">
        <v>20</v>
      </c>
      <c r="F378" s="14" t="s">
        <v>42</v>
      </c>
      <c r="G378" s="11" t="s">
        <v>482</v>
      </c>
      <c r="H378" s="11" t="s">
        <v>498</v>
      </c>
      <c r="I378" s="11" t="s">
        <v>41</v>
      </c>
      <c r="J378" s="13"/>
      <c r="K378" s="13"/>
      <c r="L378" s="13"/>
      <c r="M378" s="15">
        <v>2000000</v>
      </c>
      <c r="N378" s="15">
        <f t="shared" si="88"/>
        <v>2240000</v>
      </c>
      <c r="O378" s="28" t="s">
        <v>32</v>
      </c>
    </row>
    <row r="379" spans="1:15" ht="111.75" customHeight="1" x14ac:dyDescent="0.25">
      <c r="A379" s="13">
        <v>116</v>
      </c>
      <c r="B379" s="12" t="s">
        <v>45</v>
      </c>
      <c r="C379" s="14" t="s">
        <v>446</v>
      </c>
      <c r="D379" s="14" t="s">
        <v>169</v>
      </c>
      <c r="E379" s="13" t="s">
        <v>20</v>
      </c>
      <c r="F379" s="14" t="s">
        <v>42</v>
      </c>
      <c r="G379" s="11" t="s">
        <v>482</v>
      </c>
      <c r="H379" s="14" t="s">
        <v>324</v>
      </c>
      <c r="I379" s="11" t="s">
        <v>41</v>
      </c>
      <c r="J379" s="13"/>
      <c r="K379" s="13"/>
      <c r="L379" s="13"/>
      <c r="M379" s="15">
        <v>163380</v>
      </c>
      <c r="N379" s="15">
        <f t="shared" ref="N379" si="89">M379*1.12</f>
        <v>182985.60000000001</v>
      </c>
      <c r="O379" s="28" t="s">
        <v>32</v>
      </c>
    </row>
    <row r="380" spans="1:15" ht="111.75" customHeight="1" x14ac:dyDescent="0.25">
      <c r="A380" s="13">
        <v>117</v>
      </c>
      <c r="B380" s="12" t="s">
        <v>45</v>
      </c>
      <c r="C380" s="14" t="s">
        <v>446</v>
      </c>
      <c r="D380" s="14" t="s">
        <v>169</v>
      </c>
      <c r="E380" s="13" t="s">
        <v>20</v>
      </c>
      <c r="F380" s="14" t="s">
        <v>42</v>
      </c>
      <c r="G380" s="11" t="s">
        <v>482</v>
      </c>
      <c r="H380" s="14" t="s">
        <v>323</v>
      </c>
      <c r="I380" s="11" t="s">
        <v>41</v>
      </c>
      <c r="J380" s="13"/>
      <c r="K380" s="13"/>
      <c r="L380" s="13"/>
      <c r="M380" s="15">
        <v>50000</v>
      </c>
      <c r="N380" s="15">
        <f t="shared" ref="N380:N383" si="90">M380*1.12</f>
        <v>56000.000000000007</v>
      </c>
      <c r="O380" s="28" t="s">
        <v>32</v>
      </c>
    </row>
    <row r="381" spans="1:15" ht="111.75" customHeight="1" x14ac:dyDescent="0.25">
      <c r="A381" s="13">
        <v>118</v>
      </c>
      <c r="B381" s="12" t="s">
        <v>45</v>
      </c>
      <c r="C381" s="14" t="s">
        <v>447</v>
      </c>
      <c r="D381" s="14" t="s">
        <v>448</v>
      </c>
      <c r="E381" s="13" t="s">
        <v>20</v>
      </c>
      <c r="F381" s="14" t="s">
        <v>42</v>
      </c>
      <c r="G381" s="11" t="s">
        <v>482</v>
      </c>
      <c r="H381" s="14" t="s">
        <v>324</v>
      </c>
      <c r="I381" s="11" t="s">
        <v>41</v>
      </c>
      <c r="J381" s="13"/>
      <c r="K381" s="13"/>
      <c r="L381" s="13"/>
      <c r="M381" s="15">
        <v>1440000</v>
      </c>
      <c r="N381" s="15">
        <f t="shared" si="90"/>
        <v>1612800.0000000002</v>
      </c>
      <c r="O381" s="28" t="s">
        <v>32</v>
      </c>
    </row>
    <row r="382" spans="1:15" ht="122.25" customHeight="1" x14ac:dyDescent="0.25">
      <c r="A382" s="13">
        <v>119</v>
      </c>
      <c r="B382" s="12" t="s">
        <v>45</v>
      </c>
      <c r="C382" s="14" t="s">
        <v>450</v>
      </c>
      <c r="D382" s="14" t="s">
        <v>450</v>
      </c>
      <c r="E382" s="13" t="s">
        <v>20</v>
      </c>
      <c r="F382" s="14" t="s">
        <v>42</v>
      </c>
      <c r="G382" s="11" t="s">
        <v>482</v>
      </c>
      <c r="H382" s="20" t="s">
        <v>495</v>
      </c>
      <c r="I382" s="11" t="s">
        <v>41</v>
      </c>
      <c r="J382" s="13"/>
      <c r="K382" s="13"/>
      <c r="L382" s="13"/>
      <c r="M382" s="15">
        <v>960000</v>
      </c>
      <c r="N382" s="15">
        <f t="shared" si="90"/>
        <v>1075200</v>
      </c>
      <c r="O382" s="28" t="s">
        <v>32</v>
      </c>
    </row>
    <row r="383" spans="1:15" ht="110.25" customHeight="1" x14ac:dyDescent="0.25">
      <c r="A383" s="13">
        <v>120</v>
      </c>
      <c r="B383" s="12" t="s">
        <v>45</v>
      </c>
      <c r="C383" s="14" t="s">
        <v>451</v>
      </c>
      <c r="D383" s="14" t="s">
        <v>451</v>
      </c>
      <c r="E383" s="13" t="s">
        <v>20</v>
      </c>
      <c r="F383" s="14" t="s">
        <v>42</v>
      </c>
      <c r="G383" s="11" t="s">
        <v>482</v>
      </c>
      <c r="H383" s="20" t="s">
        <v>495</v>
      </c>
      <c r="I383" s="11" t="s">
        <v>41</v>
      </c>
      <c r="J383" s="13"/>
      <c r="K383" s="13"/>
      <c r="L383" s="13"/>
      <c r="M383" s="15">
        <v>175000</v>
      </c>
      <c r="N383" s="15">
        <f t="shared" si="90"/>
        <v>196000.00000000003</v>
      </c>
      <c r="O383" s="28" t="s">
        <v>32</v>
      </c>
    </row>
    <row r="384" spans="1:15" ht="111.75" customHeight="1" x14ac:dyDescent="0.25">
      <c r="A384" s="13">
        <v>121</v>
      </c>
      <c r="B384" s="12" t="s">
        <v>45</v>
      </c>
      <c r="C384" s="14" t="s">
        <v>452</v>
      </c>
      <c r="D384" s="14" t="s">
        <v>452</v>
      </c>
      <c r="E384" s="13" t="s">
        <v>20</v>
      </c>
      <c r="F384" s="14" t="s">
        <v>42</v>
      </c>
      <c r="G384" s="11" t="s">
        <v>482</v>
      </c>
      <c r="H384" s="20" t="s">
        <v>495</v>
      </c>
      <c r="I384" s="11" t="s">
        <v>41</v>
      </c>
      <c r="J384" s="13"/>
      <c r="K384" s="13"/>
      <c r="L384" s="13"/>
      <c r="M384" s="15">
        <v>120000</v>
      </c>
      <c r="N384" s="15">
        <f>M384*1.12</f>
        <v>134400</v>
      </c>
      <c r="O384" s="28" t="s">
        <v>32</v>
      </c>
    </row>
    <row r="385" spans="1:15" ht="102.75" customHeight="1" x14ac:dyDescent="0.25">
      <c r="A385" s="13">
        <v>122</v>
      </c>
      <c r="B385" s="12" t="s">
        <v>45</v>
      </c>
      <c r="C385" s="40" t="s">
        <v>468</v>
      </c>
      <c r="D385" s="40" t="s">
        <v>468</v>
      </c>
      <c r="E385" s="13" t="s">
        <v>20</v>
      </c>
      <c r="F385" s="14" t="s">
        <v>42</v>
      </c>
      <c r="G385" s="11" t="s">
        <v>482</v>
      </c>
      <c r="H385" s="11" t="s">
        <v>499</v>
      </c>
      <c r="I385" s="11" t="s">
        <v>41</v>
      </c>
      <c r="J385" s="13"/>
      <c r="K385" s="13"/>
      <c r="L385" s="13"/>
      <c r="M385" s="15">
        <v>1200000</v>
      </c>
      <c r="N385" s="15">
        <f t="shared" ref="N385:N387" si="91">M385*1.12</f>
        <v>1344000.0000000002</v>
      </c>
      <c r="O385" s="28" t="s">
        <v>32</v>
      </c>
    </row>
    <row r="386" spans="1:15" ht="107.25" customHeight="1" x14ac:dyDescent="0.25">
      <c r="A386" s="13">
        <v>123</v>
      </c>
      <c r="B386" s="12" t="s">
        <v>45</v>
      </c>
      <c r="C386" s="40" t="s">
        <v>281</v>
      </c>
      <c r="D386" s="40" t="s">
        <v>281</v>
      </c>
      <c r="E386" s="13" t="s">
        <v>20</v>
      </c>
      <c r="F386" s="14" t="s">
        <v>42</v>
      </c>
      <c r="G386" s="11" t="s">
        <v>482</v>
      </c>
      <c r="H386" s="11" t="s">
        <v>509</v>
      </c>
      <c r="I386" s="11" t="s">
        <v>41</v>
      </c>
      <c r="J386" s="13"/>
      <c r="K386" s="13"/>
      <c r="L386" s="13"/>
      <c r="M386" s="15">
        <v>795000</v>
      </c>
      <c r="N386" s="15">
        <f t="shared" si="91"/>
        <v>890400.00000000012</v>
      </c>
      <c r="O386" s="28" t="s">
        <v>32</v>
      </c>
    </row>
    <row r="387" spans="1:15" ht="77.25" customHeight="1" x14ac:dyDescent="0.25">
      <c r="A387" s="13">
        <v>124</v>
      </c>
      <c r="B387" s="12" t="s">
        <v>45</v>
      </c>
      <c r="C387" s="84" t="s">
        <v>483</v>
      </c>
      <c r="D387" s="84" t="s">
        <v>484</v>
      </c>
      <c r="E387" s="13" t="s">
        <v>20</v>
      </c>
      <c r="F387" s="14" t="s">
        <v>42</v>
      </c>
      <c r="G387" s="11" t="s">
        <v>482</v>
      </c>
      <c r="H387" s="11" t="s">
        <v>501</v>
      </c>
      <c r="I387" s="11" t="s">
        <v>41</v>
      </c>
      <c r="J387" s="13"/>
      <c r="K387" s="13"/>
      <c r="L387" s="13"/>
      <c r="M387" s="15">
        <v>2520000</v>
      </c>
      <c r="N387" s="15">
        <f t="shared" si="91"/>
        <v>2822400.0000000005</v>
      </c>
      <c r="O387" s="28" t="s">
        <v>32</v>
      </c>
    </row>
    <row r="388" spans="1:15" ht="77.25" customHeight="1" x14ac:dyDescent="0.25">
      <c r="A388" s="13">
        <v>125</v>
      </c>
      <c r="B388" s="12" t="s">
        <v>45</v>
      </c>
      <c r="C388" s="14" t="s">
        <v>485</v>
      </c>
      <c r="D388" s="14" t="s">
        <v>485</v>
      </c>
      <c r="E388" s="13" t="s">
        <v>20</v>
      </c>
      <c r="F388" s="14" t="s">
        <v>42</v>
      </c>
      <c r="G388" s="11" t="s">
        <v>482</v>
      </c>
      <c r="H388" s="11" t="s">
        <v>501</v>
      </c>
      <c r="I388" s="11" t="s">
        <v>41</v>
      </c>
      <c r="J388" s="13"/>
      <c r="K388" s="13"/>
      <c r="L388" s="13"/>
      <c r="M388" s="15">
        <v>120000</v>
      </c>
      <c r="N388" s="15">
        <f t="shared" ref="N388:N395" si="92">M388*1.12</f>
        <v>134400</v>
      </c>
      <c r="O388" s="28" t="s">
        <v>32</v>
      </c>
    </row>
    <row r="389" spans="1:15" ht="77.25" customHeight="1" x14ac:dyDescent="0.25">
      <c r="A389" s="13">
        <v>126</v>
      </c>
      <c r="B389" s="12" t="s">
        <v>45</v>
      </c>
      <c r="C389" s="85" t="s">
        <v>486</v>
      </c>
      <c r="D389" s="85" t="s">
        <v>486</v>
      </c>
      <c r="E389" s="13" t="s">
        <v>20</v>
      </c>
      <c r="F389" s="14" t="s">
        <v>42</v>
      </c>
      <c r="G389" s="11" t="s">
        <v>482</v>
      </c>
      <c r="H389" s="11" t="s">
        <v>501</v>
      </c>
      <c r="I389" s="11" t="s">
        <v>41</v>
      </c>
      <c r="J389" s="13"/>
      <c r="K389" s="13"/>
      <c r="L389" s="13"/>
      <c r="M389" s="15">
        <v>150000</v>
      </c>
      <c r="N389" s="15">
        <f t="shared" si="92"/>
        <v>168000.00000000003</v>
      </c>
      <c r="O389" s="28" t="s">
        <v>32</v>
      </c>
    </row>
    <row r="390" spans="1:15" ht="77.25" customHeight="1" x14ac:dyDescent="0.25">
      <c r="A390" s="13">
        <v>127</v>
      </c>
      <c r="B390" s="12" t="s">
        <v>45</v>
      </c>
      <c r="C390" s="11" t="s">
        <v>487</v>
      </c>
      <c r="D390" s="11" t="s">
        <v>487</v>
      </c>
      <c r="E390" s="13" t="s">
        <v>20</v>
      </c>
      <c r="F390" s="14" t="s">
        <v>42</v>
      </c>
      <c r="G390" s="11" t="s">
        <v>482</v>
      </c>
      <c r="H390" s="11" t="s">
        <v>501</v>
      </c>
      <c r="I390" s="11" t="s">
        <v>41</v>
      </c>
      <c r="J390" s="13"/>
      <c r="K390" s="13"/>
      <c r="L390" s="13"/>
      <c r="M390" s="15">
        <v>1700000</v>
      </c>
      <c r="N390" s="15">
        <f t="shared" si="92"/>
        <v>1904000.0000000002</v>
      </c>
      <c r="O390" s="28" t="s">
        <v>32</v>
      </c>
    </row>
    <row r="391" spans="1:15" ht="77.25" customHeight="1" x14ac:dyDescent="0.25">
      <c r="A391" s="13">
        <v>128</v>
      </c>
      <c r="B391" s="12" t="s">
        <v>45</v>
      </c>
      <c r="C391" s="86" t="s">
        <v>488</v>
      </c>
      <c r="D391" s="86" t="s">
        <v>488</v>
      </c>
      <c r="E391" s="13" t="s">
        <v>20</v>
      </c>
      <c r="F391" s="14" t="s">
        <v>42</v>
      </c>
      <c r="G391" s="11" t="s">
        <v>482</v>
      </c>
      <c r="H391" s="11" t="s">
        <v>501</v>
      </c>
      <c r="I391" s="11" t="s">
        <v>41</v>
      </c>
      <c r="J391" s="13"/>
      <c r="K391" s="13"/>
      <c r="L391" s="13"/>
      <c r="M391" s="15">
        <v>500000</v>
      </c>
      <c r="N391" s="15">
        <f t="shared" si="92"/>
        <v>560000</v>
      </c>
      <c r="O391" s="28" t="s">
        <v>32</v>
      </c>
    </row>
    <row r="392" spans="1:15" ht="77.25" customHeight="1" x14ac:dyDescent="0.25">
      <c r="A392" s="13">
        <v>129</v>
      </c>
      <c r="B392" s="12" t="s">
        <v>45</v>
      </c>
      <c r="C392" s="13" t="s">
        <v>514</v>
      </c>
      <c r="D392" s="13" t="s">
        <v>515</v>
      </c>
      <c r="E392" s="11" t="s">
        <v>20</v>
      </c>
      <c r="F392" s="14" t="s">
        <v>42</v>
      </c>
      <c r="G392" s="11" t="s">
        <v>482</v>
      </c>
      <c r="H392" s="14" t="s">
        <v>204</v>
      </c>
      <c r="I392" s="11" t="s">
        <v>41</v>
      </c>
      <c r="J392" s="13"/>
      <c r="K392" s="11"/>
      <c r="L392" s="87"/>
      <c r="M392" s="87">
        <v>30000000</v>
      </c>
      <c r="N392" s="16">
        <f t="shared" si="92"/>
        <v>33600000</v>
      </c>
      <c r="O392" s="28" t="s">
        <v>32</v>
      </c>
    </row>
    <row r="393" spans="1:15" ht="77.25" customHeight="1" x14ac:dyDescent="0.25">
      <c r="A393" s="13">
        <v>130</v>
      </c>
      <c r="B393" s="12" t="s">
        <v>45</v>
      </c>
      <c r="C393" s="14" t="s">
        <v>516</v>
      </c>
      <c r="D393" s="14" t="s">
        <v>517</v>
      </c>
      <c r="E393" s="13" t="s">
        <v>24</v>
      </c>
      <c r="F393" s="14" t="s">
        <v>42</v>
      </c>
      <c r="G393" s="11" t="s">
        <v>482</v>
      </c>
      <c r="H393" s="14" t="s">
        <v>204</v>
      </c>
      <c r="I393" s="11" t="s">
        <v>41</v>
      </c>
      <c r="J393" s="13"/>
      <c r="K393" s="11"/>
      <c r="L393" s="87"/>
      <c r="M393" s="87">
        <v>7400000</v>
      </c>
      <c r="N393" s="16">
        <f t="shared" si="92"/>
        <v>8288000.0000000009</v>
      </c>
      <c r="O393" s="28" t="s">
        <v>32</v>
      </c>
    </row>
    <row r="394" spans="1:15" ht="111.75" customHeight="1" x14ac:dyDescent="0.25">
      <c r="A394" s="13">
        <v>131</v>
      </c>
      <c r="B394" s="12" t="s">
        <v>45</v>
      </c>
      <c r="C394" s="13" t="s">
        <v>518</v>
      </c>
      <c r="D394" s="13" t="s">
        <v>518</v>
      </c>
      <c r="E394" s="13" t="s">
        <v>20</v>
      </c>
      <c r="F394" s="14" t="s">
        <v>42</v>
      </c>
      <c r="G394" s="11" t="s">
        <v>482</v>
      </c>
      <c r="H394" s="11" t="s">
        <v>494</v>
      </c>
      <c r="I394" s="11" t="s">
        <v>41</v>
      </c>
      <c r="J394" s="13"/>
      <c r="K394" s="11"/>
      <c r="L394" s="87"/>
      <c r="M394" s="87">
        <v>1500000</v>
      </c>
      <c r="N394" s="16">
        <f t="shared" si="92"/>
        <v>1680000.0000000002</v>
      </c>
      <c r="O394" s="28" t="s">
        <v>32</v>
      </c>
    </row>
    <row r="395" spans="1:15" ht="112.5" customHeight="1" x14ac:dyDescent="0.25">
      <c r="A395" s="13">
        <v>132</v>
      </c>
      <c r="B395" s="12" t="s">
        <v>45</v>
      </c>
      <c r="C395" s="13" t="s">
        <v>519</v>
      </c>
      <c r="D395" s="13" t="s">
        <v>520</v>
      </c>
      <c r="E395" s="13" t="s">
        <v>20</v>
      </c>
      <c r="F395" s="14" t="s">
        <v>42</v>
      </c>
      <c r="G395" s="11" t="s">
        <v>482</v>
      </c>
      <c r="H395" s="11" t="s">
        <v>494</v>
      </c>
      <c r="I395" s="11" t="s">
        <v>41</v>
      </c>
      <c r="J395" s="13"/>
      <c r="K395" s="11"/>
      <c r="L395" s="87"/>
      <c r="M395" s="15">
        <v>2857670.4</v>
      </c>
      <c r="N395" s="16">
        <f t="shared" si="92"/>
        <v>3200590.8480000002</v>
      </c>
      <c r="O395" s="28" t="s">
        <v>32</v>
      </c>
    </row>
    <row r="396" spans="1:15" ht="118.5" customHeight="1" x14ac:dyDescent="0.25">
      <c r="A396" s="13">
        <v>133</v>
      </c>
      <c r="B396" s="12" t="s">
        <v>45</v>
      </c>
      <c r="C396" s="13" t="s">
        <v>521</v>
      </c>
      <c r="D396" s="13" t="s">
        <v>521</v>
      </c>
      <c r="E396" s="13" t="s">
        <v>20</v>
      </c>
      <c r="F396" s="14" t="s">
        <v>42</v>
      </c>
      <c r="G396" s="11" t="s">
        <v>482</v>
      </c>
      <c r="H396" s="11" t="s">
        <v>494</v>
      </c>
      <c r="I396" s="11" t="s">
        <v>41</v>
      </c>
      <c r="J396" s="13"/>
      <c r="K396" s="82"/>
      <c r="L396" s="55"/>
      <c r="M396" s="18">
        <v>240000</v>
      </c>
      <c r="N396" s="18">
        <f t="shared" ref="N396" si="93">M396*1.12</f>
        <v>268800</v>
      </c>
      <c r="O396" s="28" t="s">
        <v>32</v>
      </c>
    </row>
    <row r="397" spans="1:15" s="66" customFormat="1" ht="24" customHeight="1" x14ac:dyDescent="0.25">
      <c r="A397" s="68"/>
      <c r="B397" s="68" t="s">
        <v>39</v>
      </c>
      <c r="C397" s="68"/>
      <c r="D397" s="68"/>
      <c r="E397" s="68"/>
      <c r="F397" s="68"/>
      <c r="G397" s="68"/>
      <c r="H397" s="68"/>
      <c r="I397" s="68"/>
      <c r="J397" s="68"/>
      <c r="K397" s="68"/>
      <c r="L397" s="63"/>
      <c r="M397" s="64">
        <f>SUM(M264:M396)</f>
        <v>8297013029.9408903</v>
      </c>
      <c r="N397" s="64">
        <f t="shared" si="84"/>
        <v>9292654593.5337982</v>
      </c>
      <c r="O397" s="68"/>
    </row>
    <row r="398" spans="1:15" s="66" customFormat="1" ht="28.5" customHeight="1" x14ac:dyDescent="0.25">
      <c r="A398" s="68"/>
      <c r="B398" s="68" t="s">
        <v>40</v>
      </c>
      <c r="C398" s="68"/>
      <c r="D398" s="68"/>
      <c r="E398" s="68"/>
      <c r="F398" s="68"/>
      <c r="G398" s="68"/>
      <c r="H398" s="68"/>
      <c r="I398" s="68"/>
      <c r="J398" s="68"/>
      <c r="K398" s="68"/>
      <c r="L398" s="63"/>
      <c r="M398" s="64">
        <f>M397+M262+M242</f>
        <v>10739281006.291246</v>
      </c>
      <c r="N398" s="64">
        <f t="shared" si="84"/>
        <v>12027994727.046198</v>
      </c>
      <c r="O398" s="68"/>
    </row>
    <row r="400" spans="1:15" x14ac:dyDescent="0.25">
      <c r="L400" s="1"/>
      <c r="M400" s="1"/>
      <c r="N400" s="1"/>
    </row>
    <row r="402" spans="2:14" s="66" customFormat="1" x14ac:dyDescent="0.25">
      <c r="L402" s="88"/>
      <c r="M402" s="89"/>
      <c r="N402" s="89"/>
    </row>
    <row r="403" spans="2:14" s="66" customFormat="1" x14ac:dyDescent="0.25">
      <c r="B403" s="66" t="s">
        <v>345</v>
      </c>
      <c r="L403" s="88"/>
      <c r="M403" s="89"/>
      <c r="N403" s="90" t="s">
        <v>346</v>
      </c>
    </row>
    <row r="455" spans="1:3" x14ac:dyDescent="0.25">
      <c r="A455" s="99" t="s">
        <v>417</v>
      </c>
      <c r="B455" s="99"/>
      <c r="C455" s="99"/>
    </row>
    <row r="456" spans="1:3" x14ac:dyDescent="0.25">
      <c r="A456" s="99" t="s">
        <v>418</v>
      </c>
      <c r="B456" s="99"/>
      <c r="C456" s="99"/>
    </row>
    <row r="464" spans="1:3" x14ac:dyDescent="0.25">
      <c r="A464" s="99"/>
      <c r="B464" s="99"/>
      <c r="C464" s="99"/>
    </row>
    <row r="465" spans="1:3" x14ac:dyDescent="0.25">
      <c r="A465" s="95"/>
      <c r="B465" s="95"/>
      <c r="C465" s="95"/>
    </row>
  </sheetData>
  <autoFilter ref="A13:O398"/>
  <mergeCells count="30">
    <mergeCell ref="A464:C464"/>
    <mergeCell ref="A465:C465"/>
    <mergeCell ref="A455:C455"/>
    <mergeCell ref="A456:C456"/>
    <mergeCell ref="A11:A12"/>
    <mergeCell ref="B11:B12"/>
    <mergeCell ref="C11:C12"/>
    <mergeCell ref="A243:B243"/>
    <mergeCell ref="A263:B263"/>
    <mergeCell ref="A14:B14"/>
    <mergeCell ref="D11:D12"/>
    <mergeCell ref="H11:H12"/>
    <mergeCell ref="O11:O12"/>
    <mergeCell ref="I11:I12"/>
    <mergeCell ref="J11:J12"/>
    <mergeCell ref="K11:K12"/>
    <mergeCell ref="L11:L12"/>
    <mergeCell ref="G11:G12"/>
    <mergeCell ref="E11:E12"/>
    <mergeCell ref="F11:F12"/>
    <mergeCell ref="M11:M12"/>
    <mergeCell ref="N11:N12"/>
    <mergeCell ref="C8:O8"/>
    <mergeCell ref="C7:O7"/>
    <mergeCell ref="M1:O1"/>
    <mergeCell ref="M2:O2"/>
    <mergeCell ref="M3:O3"/>
    <mergeCell ref="M4:O4"/>
    <mergeCell ref="M5:N5"/>
    <mergeCell ref="A1:C1"/>
  </mergeCells>
  <pageMargins left="0.31496062992125984" right="0.31496062992125984" top="0.15748031496062992" bottom="0.15748031496062992" header="0.31496062992125984" footer="0.31496062992125984"/>
  <pageSetup paperSize="9" scale="43"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Первоочеред</vt:lpstr>
      <vt:lpstr>Лист1</vt:lpstr>
      <vt:lpstr>Первоочеред!Заголовки_для_печати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2014-02-19T09:37:50Z</dcterms:modified>
</cp:coreProperties>
</file>